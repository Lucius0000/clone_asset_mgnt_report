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gke/Documents/投资研究/资产管理周报/租金指数/"/>
    </mc:Choice>
  </mc:AlternateContent>
  <xr:revisionPtr revIDLastSave="0" documentId="13_ncr:1_{A86536A6-6B1D-2744-879E-5BB2C103FF6E}" xr6:coauthVersionLast="47" xr6:coauthVersionMax="47" xr10:uidLastSave="{00000000-0000-0000-0000-000000000000}"/>
  <bookViews>
    <workbookView xWindow="0" yWindow="500" windowWidth="35840" windowHeight="21900" xr2:uid="{D1DDF7B5-99D9-344F-819C-1A690CDC6D20}"/>
  </bookViews>
  <sheets>
    <sheet name="output_sheet" sheetId="1" r:id="rId1"/>
    <sheet name="Processed_HousePriceIndex_CN_SZ" sheetId="12" r:id="rId2"/>
    <sheet name="Processed_HousePriceIndex_CN_HK" sheetId="13" r:id="rId3"/>
    <sheet name="Processed_HousePriceIndex_US_CA" sheetId="14" r:id="rId4"/>
    <sheet name="Processed_RentPrice_CN_HK " sheetId="16" r:id="rId5"/>
    <sheet name="Processed_RentPrice_US_CA" sheetId="15" r:id="rId6"/>
    <sheet name="rawData_HousePriceIndex_SZ" sheetId="2" r:id="rId7"/>
    <sheet name="rawData_HousePriceIndex_HK" sheetId="4" r:id="rId8"/>
    <sheet name="rawData_HousePriceIndex_US" sheetId="5" r:id="rId9"/>
    <sheet name="rawData_RentPriceIndex_HK" sheetId="6" r:id="rId10"/>
    <sheet name="rawData_RentPriceIndex_US" sheetId="7" r:id="rId11"/>
  </sheets>
  <definedNames>
    <definedName name="ExternalData_1" localSheetId="2" hidden="1">Processed_HousePriceIndex_CN_HK!$A$1:$M$69</definedName>
    <definedName name="ExternalData_1" localSheetId="3" hidden="1">Processed_HousePriceIndex_US_CA!$A$1:$M$68</definedName>
    <definedName name="ExternalData_1" localSheetId="5" hidden="1">Processed_RentPrice_US_CA!$A$1:$M$69</definedName>
    <definedName name="ExternalData_2" localSheetId="1" hidden="1">Processed_HousePriceIndex_CN_SZ!$A$1:$M$24</definedName>
    <definedName name="ExternalData_2" localSheetId="4" hidden="1">'Processed_RentPrice_CN_HK '!$A$1:$M$69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 a="1"/>
  <c r="E9" i="1" s="1"/>
  <c r="D9" i="1" a="1"/>
  <c r="D9" i="1" s="1"/>
  <c r="E3" i="1" a="1"/>
  <c r="E3" i="1" s="1"/>
  <c r="D3" i="1" a="1"/>
  <c r="D3" i="1" s="1"/>
  <c r="C3" i="1" a="1"/>
  <c r="C3" i="1" s="1"/>
  <c r="E14" i="1"/>
  <c r="E13" i="1"/>
  <c r="E12" i="1"/>
  <c r="E11" i="1"/>
  <c r="E10" i="1"/>
  <c r="D14" i="1"/>
  <c r="D13" i="1"/>
  <c r="D12" i="1"/>
  <c r="D11" i="1"/>
  <c r="D10" i="1"/>
  <c r="E4" i="1"/>
  <c r="E5" i="1"/>
  <c r="E6" i="1"/>
  <c r="E7" i="1"/>
  <c r="E8" i="1"/>
  <c r="D8" i="1"/>
  <c r="D7" i="1"/>
  <c r="D6" i="1"/>
  <c r="D5" i="1"/>
  <c r="C8" i="1"/>
  <c r="C7" i="1"/>
  <c r="C6" i="1"/>
  <c r="C5" i="1"/>
  <c r="C4" i="1"/>
  <c r="D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3B9BF75-2D4A-954E-B864-DC1BB0098CD8}" keepAlive="1" name="查询 - Processed_CN_HK" description="与工作簿中“Processed_CN_HK”查询的连接。" type="5" refreshedVersion="8" background="1" saveData="1">
    <dbPr connection="Provider=Microsoft.Mashup.OleDb.1;Data Source=$Workbook$;Location=Processed_CN_HK;Extended Properties=&quot;&quot;" command="SELECT * FROM [Processed_CN_HK]"/>
  </connection>
  <connection id="2" xr16:uid="{EFB83BB6-416A-BB4D-A1BC-86E01CFDF7D6}" keepAlive="1" name="查询 - Processed_CN_SZ" description="与工作簿中“Processed_CN_SZ”查询的连接。" type="5" refreshedVersion="8" background="1" saveData="1">
    <dbPr connection="Provider=Microsoft.Mashup.OleDb.1;Data Source=$Workbook$;Location=Processed_CN_SZ;Extended Properties=&quot;&quot;" command="SELECT * FROM [Processed_CN_SZ]"/>
  </connection>
  <connection id="3" xr16:uid="{F01DEFCA-DC6E-0941-8D7F-6169D4B2FAA8}" keepAlive="1" name="查询 - Processed_RentPrice_CN_HK (2)" description="与工作簿中“Processed_RentPrice_CN_HK (2)”查询的连接。" type="5" refreshedVersion="8" background="1" saveData="1">
    <dbPr connection="Provider=Microsoft.Mashup.OleDb.1;Data Source=$Workbook$;Location=&quot;Processed_RentPrice_CN_HK (2)&quot;;Extended Properties=&quot;&quot;" command="SELECT * FROM [Processed_RentPrice_CN_HK (2)]"/>
  </connection>
  <connection id="4" xr16:uid="{EC89461A-60A9-8A4A-8810-8D7318C0D26A}" keepAlive="1" name="查询 - Processed_RentPrice_US_CA (2)" description="与工作簿中“Processed_RentPrice_US_CA (2)”查询的连接。" type="5" refreshedVersion="8" background="1" saveData="1">
    <dbPr connection="Provider=Microsoft.Mashup.OleDb.1;Data Source=$Workbook$;Location=&quot;Processed_RentPrice_US_CA (2)&quot;;Extended Properties=&quot;&quot;" command="SELECT * FROM [Processed_RentPrice_US_CA (2)]"/>
  </connection>
  <connection id="5" xr16:uid="{9B125A57-8863-EA40-92FA-C207E73E2526}" keepAlive="1" name="查询 - Processed_US_CA" description="与工作簿中“Processed_US_CA”查询的连接。" type="5" refreshedVersion="8" background="1" saveData="1">
    <dbPr connection="Provider=Microsoft.Mashup.OleDb.1;Data Source=$Workbook$;Location=Processed_US_CA;Extended Properties=&quot;&quot;" command="SELECT * FROM [Processed_US_CA]"/>
  </connection>
  <connection id="6" xr16:uid="{F63F2F6A-C78E-3045-AFE2-B35FBFCCE61D}" keepAlive="1" name="查询 - rawData_HousePriceIndex_SZ(1)" description="与工作簿中“rawData_HousePriceIndex_SZ”查询的连接。" type="5" refreshedVersion="0" background="1">
    <dbPr connection="Provider=Microsoft.Mashup.OleDb.1;Data Source=$Workbook$;Location=rawData_HousePriceIndex_SZ;Extended Properties=&quot;&quot;" command="SELECT * FROM [rawData_HousePriceIndex_SZ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<sst xmlns="http://schemas.openxmlformats.org/spreadsheetml/2006/main" count="1295" uniqueCount="44">
  <si>
    <t>54914¥/m^2</t>
  </si>
  <si>
    <t>上月=100</t>
  </si>
  <si>
    <t>上年同月=100</t>
  </si>
  <si>
    <t>YoY (%)</t>
  </si>
  <si>
    <t>MoM (%)</t>
  </si>
  <si>
    <t>YTD (%)</t>
  </si>
  <si>
    <t>S&amp;P Case-Shiller (via FRED)</t>
  </si>
  <si>
    <r>
      <rPr>
        <b/>
        <sz val="10"/>
        <color theme="1"/>
        <rFont val="等线"/>
        <family val="4"/>
        <charset val="134"/>
      </rPr>
      <t>指标</t>
    </r>
    <r>
      <rPr>
        <b/>
        <sz val="10"/>
        <color theme="1"/>
        <rFont val="Times New Roman"/>
        <family val="1"/>
      </rPr>
      <t xml:space="preserve"> (Metric)</t>
    </r>
  </si>
  <si>
    <r>
      <rPr>
        <b/>
        <sz val="10"/>
        <color theme="1"/>
        <rFont val="等线"/>
        <family val="4"/>
        <charset val="134"/>
      </rPr>
      <t>深圳</t>
    </r>
    <r>
      <rPr>
        <b/>
        <sz val="10"/>
        <color theme="1"/>
        <rFont val="Times New Roman"/>
        <family val="1"/>
      </rPr>
      <t xml:space="preserve"> (Shenzhen)</t>
    </r>
  </si>
  <si>
    <r>
      <rPr>
        <b/>
        <sz val="10"/>
        <color theme="1"/>
        <rFont val="等线"/>
        <family val="4"/>
        <charset val="134"/>
      </rPr>
      <t>香港</t>
    </r>
    <r>
      <rPr>
        <b/>
        <sz val="10"/>
        <color theme="1"/>
        <rFont val="Times New Roman"/>
        <family val="1"/>
      </rPr>
      <t xml:space="preserve"> (Hong Kong)</t>
    </r>
  </si>
  <si>
    <r>
      <rPr>
        <b/>
        <sz val="10"/>
        <color theme="1"/>
        <rFont val="等线"/>
        <family val="4"/>
        <charset val="134"/>
      </rPr>
      <t>旧金山湾区</t>
    </r>
    <r>
      <rPr>
        <b/>
        <sz val="10"/>
        <color theme="1"/>
        <rFont val="Times New Roman"/>
        <family val="1"/>
      </rPr>
      <t xml:space="preserve"> (SF Bay Area)</t>
    </r>
  </si>
  <si>
    <r>
      <rPr>
        <b/>
        <sz val="10"/>
        <color theme="1"/>
        <rFont val="等线"/>
        <family val="4"/>
        <charset val="134"/>
      </rPr>
      <t>房价指数</t>
    </r>
    <r>
      <rPr>
        <b/>
        <sz val="10"/>
        <color theme="1"/>
        <rFont val="Times New Roman"/>
        <family val="1"/>
      </rPr>
      <t xml:space="preserve"> </t>
    </r>
  </si>
  <si>
    <r>
      <rPr>
        <b/>
        <sz val="10"/>
        <color theme="1"/>
        <rFont val="等线"/>
        <family val="4"/>
        <charset val="134"/>
      </rPr>
      <t>上月</t>
    </r>
    <r>
      <rPr>
        <b/>
        <sz val="10"/>
        <color theme="1"/>
        <rFont val="Times New Roman"/>
        <family val="1"/>
      </rPr>
      <t>=100</t>
    </r>
  </si>
  <si>
    <r>
      <rPr>
        <b/>
        <sz val="10"/>
        <color theme="1"/>
        <rFont val="等线"/>
        <family val="4"/>
        <charset val="134"/>
      </rPr>
      <t>上年同月</t>
    </r>
    <r>
      <rPr>
        <b/>
        <sz val="10"/>
        <color theme="1"/>
        <rFont val="Times New Roman"/>
        <family val="1"/>
      </rPr>
      <t>=100</t>
    </r>
  </si>
  <si>
    <r>
      <rPr>
        <b/>
        <sz val="10"/>
        <color theme="1"/>
        <rFont val="等线"/>
        <family val="4"/>
        <charset val="134"/>
      </rPr>
      <t>租金指数</t>
    </r>
  </si>
  <si>
    <r>
      <rPr>
        <b/>
        <sz val="10"/>
        <color theme="1"/>
        <rFont val="等线"/>
        <family val="4"/>
        <charset val="134"/>
      </rPr>
      <t>数据源</t>
    </r>
  </si>
  <si>
    <r>
      <rPr>
        <sz val="10"/>
        <color theme="1"/>
        <rFont val="等线"/>
        <family val="4"/>
        <charset val="134"/>
      </rPr>
      <t>国家统计局</t>
    </r>
    <r>
      <rPr>
        <sz val="10"/>
        <color theme="1"/>
        <rFont val="Times New Roman"/>
        <family val="1"/>
      </rPr>
      <t xml:space="preserve"> (NBS)</t>
    </r>
    <r>
      <rPr>
        <sz val="10"/>
        <color theme="1"/>
        <rFont val="等线"/>
        <family val="4"/>
        <charset val="134"/>
      </rPr>
      <t>，深圳市住房和建设局</t>
    </r>
    <r>
      <rPr>
        <sz val="10"/>
        <color theme="1"/>
        <rFont val="Times New Roman"/>
        <family val="1"/>
      </rPr>
      <t>|</t>
    </r>
    <r>
      <rPr>
        <sz val="10"/>
        <color theme="1"/>
        <rFont val="等线"/>
        <family val="4"/>
        <charset val="134"/>
      </rPr>
      <t>深圳市房屋租赁参考价格查询平台</t>
    </r>
  </si>
  <si>
    <r>
      <rPr>
        <sz val="10"/>
        <color theme="1"/>
        <rFont val="等线"/>
        <family val="4"/>
        <charset val="134"/>
      </rPr>
      <t>差饷物业估价署</t>
    </r>
    <r>
      <rPr>
        <sz val="10"/>
        <color theme="1"/>
        <rFont val="Times New Roman"/>
        <family val="1"/>
      </rPr>
      <t xml:space="preserve"> (RVD)</t>
    </r>
  </si>
  <si>
    <t>Date</t>
  </si>
  <si>
    <t>Date</t>
    <phoneticPr fontId="2" type="noConversion"/>
  </si>
  <si>
    <t>Value</t>
  </si>
  <si>
    <t>Value</t>
    <phoneticPr fontId="2" type="noConversion"/>
  </si>
  <si>
    <t>Type</t>
  </si>
  <si>
    <t>Type</t>
    <phoneticPr fontId="2" type="noConversion"/>
  </si>
  <si>
    <t>Region</t>
  </si>
  <si>
    <t>Region</t>
    <phoneticPr fontId="2" type="noConversion"/>
  </si>
  <si>
    <t>HousePriceIndex</t>
  </si>
  <si>
    <t>HousePriceIndex</t>
    <phoneticPr fontId="2" type="noConversion"/>
  </si>
  <si>
    <t>CN_SZ</t>
  </si>
  <si>
    <t>CN_SZ</t>
    <phoneticPr fontId="2" type="noConversion"/>
  </si>
  <si>
    <t>ReleaseDate(ObservationDate)</t>
  </si>
  <si>
    <t>ReleaseDate(ObservationDate)</t>
    <phoneticPr fontId="2" type="noConversion"/>
  </si>
  <si>
    <t>CN_HK</t>
    <phoneticPr fontId="2" type="noConversion"/>
  </si>
  <si>
    <t>索引</t>
  </si>
  <si>
    <t>Price_Prev_Month</t>
  </si>
  <si>
    <t>Price_Prev_Year</t>
  </si>
  <si>
    <t>MoM</t>
  </si>
  <si>
    <t>YoY</t>
  </si>
  <si>
    <t>YTD(%)</t>
  </si>
  <si>
    <t>CN_HK</t>
  </si>
  <si>
    <t>US_CA</t>
  </si>
  <si>
    <t>US_CA</t>
    <phoneticPr fontId="2" type="noConversion"/>
  </si>
  <si>
    <t>2020=100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</si>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</sst>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yyyy/mm/dd"/>
    <numFmt numFmtId="177" formatCode="yyyy/mm"/>
    <numFmt numFmtId="178" formatCode="0.00_ "/>
    <numFmt numFmtId="179" formatCode="0.00_);[Red]\(0.00\)"/>
    <numFmt numFmtId="180" formatCode="0.0"/>
    <numFmt numFmtId="181" formatCode="0.000_);[Red]\(0.000\)"/>
    <numFmt numFmtId="182" formatCode="0.000"/>
  </numFmts>
  <fonts count="13">
    <font>
      <sz val="22"/>
      <color theme="1"/>
      <name val="等线"/>
      <family val="2"/>
      <charset val="134"/>
      <scheme val="minor"/>
    </font>
    <font>
      <u/>
      <sz val="22"/>
      <color theme="10"/>
      <name val="等线"/>
      <family val="2"/>
      <charset val="134"/>
      <scheme val="minor"/>
    </font>
    <font>
      <sz val="11"/>
      <name val="等线"/>
      <family val="2"/>
      <charset val="134"/>
      <scheme val="minor"/>
    </font>
    <font>
      <b/>
      <sz val="10"/>
      <color theme="1"/>
      <name val="Times New Roman"/>
      <family val="1"/>
    </font>
    <font>
      <b/>
      <sz val="10"/>
      <color theme="1"/>
      <name val="等线"/>
      <family val="4"/>
      <charset val="134"/>
    </font>
    <font>
      <sz val="10"/>
      <color theme="1"/>
      <name val="Times New Roman"/>
      <family val="1"/>
    </font>
    <font>
      <sz val="10"/>
      <color theme="1"/>
      <name val="等线"/>
      <family val="4"/>
      <charset val="134"/>
    </font>
    <font>
      <u/>
      <sz val="9"/>
      <color theme="1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20"/>
      <color theme="1"/>
      <name val="等线"/>
      <family val="2"/>
      <charset val="134"/>
      <scheme val="minor"/>
    </font>
    <font>
      <sz val="22"/>
      <name val="等线"/>
      <family val="4"/>
      <charset val="134"/>
    </font>
    <font>
      <sz val="22"/>
      <color rgb="FF000000"/>
      <name val="等线"/>
      <family val="4"/>
      <charset val="13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7" fillId="0" borderId="5" xfId="1" applyFont="1" applyBorder="1" applyAlignment="1">
      <alignment horizontal="right"/>
    </xf>
    <xf numFmtId="0" fontId="7" fillId="0" borderId="6" xfId="1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8" fillId="0" borderId="5" xfId="0" applyFont="1" applyBorder="1" applyAlignment="1">
      <alignment horizontal="right"/>
    </xf>
    <xf numFmtId="0" fontId="8" fillId="0" borderId="6" xfId="0" applyFont="1" applyBorder="1" applyAlignment="1">
      <alignment horizontal="right"/>
    </xf>
    <xf numFmtId="0" fontId="10" fillId="0" borderId="0" xfId="0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4" fontId="0" fillId="0" borderId="0" xfId="0" applyNumberFormat="1">
      <alignment vertical="center"/>
    </xf>
    <xf numFmtId="179" fontId="0" fillId="0" borderId="0" xfId="0" applyNumberFormat="1">
      <alignment vertical="center"/>
    </xf>
    <xf numFmtId="180" fontId="11" fillId="0" borderId="0" xfId="0" applyNumberFormat="1" applyFont="1" applyAlignment="1"/>
    <xf numFmtId="181" fontId="0" fillId="0" borderId="0" xfId="0" applyNumberFormat="1">
      <alignment vertical="center"/>
    </xf>
    <xf numFmtId="181" fontId="0" fillId="0" borderId="0" xfId="0" applyNumberFormat="1" applyAlignment="1"/>
    <xf numFmtId="182" fontId="12" fillId="0" borderId="0" xfId="0" applyNumberFormat="1" applyFont="1" applyAlignment="1"/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8" fillId="0" borderId="0" xfId="0" applyFont="1" applyBorder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9" fillId="0" borderId="0" xfId="0" applyFont="1" applyBorder="1" applyAlignment="1">
      <alignment horizontal="right"/>
    </xf>
    <xf numFmtId="0" fontId="3" fillId="0" borderId="1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NumberFormat="1">
      <alignment vertical="center"/>
    </xf>
    <xf numFmtId="179" fontId="8" fillId="0" borderId="1" xfId="0" applyNumberFormat="1" applyFont="1" applyBorder="1" applyAlignment="1">
      <alignment horizontal="right"/>
    </xf>
    <xf numFmtId="179" fontId="8" fillId="0" borderId="2" xfId="0" applyNumberFormat="1" applyFont="1" applyBorder="1" applyAlignment="1">
      <alignment horizontal="right"/>
    </xf>
    <xf numFmtId="179" fontId="8" fillId="0" borderId="0" xfId="0" applyNumberFormat="1" applyFont="1" applyBorder="1" applyAlignment="1">
      <alignment horizontal="right"/>
    </xf>
    <xf numFmtId="179" fontId="8" fillId="0" borderId="3" xfId="0" applyNumberFormat="1" applyFont="1" applyBorder="1" applyAlignment="1">
      <alignment horizontal="right"/>
    </xf>
  </cellXfs>
  <cellStyles count="2">
    <cellStyle name="常规" xfId="0" builtinId="0"/>
    <cellStyle name="超链接" xfId="1" builtinId="8"/>
  </cellStyles>
  <dxfs count="20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0" formatCode="General"/>
    </dxf>
    <dxf>
      <numFmt numFmtId="0" formatCode="General"/>
    </dxf>
    <dxf>
      <numFmt numFmtId="19" formatCode="yyyy/m/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DF7DF26-4B5C-564F-A5E0-D6C42C4B65D0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Value" tableColumnId="2"/>
      <queryTableField id="3" name="Region" tableColumnId="3"/>
      <queryTableField id="4" name="Type" tableColumnId="4"/>
      <queryTableField id="5" name="ReleaseDate(ObservationDate)" tableColumnId="5"/>
      <queryTableField id="6" name="索引" tableColumnId="6"/>
      <queryTableField id="7" name="Price_Prev_Month" tableColumnId="7"/>
      <queryTableField id="8" name="Price_Prev_Year" tableColumnId="8"/>
      <queryTableField id="9" name="MoM" tableColumnId="9"/>
      <queryTableField id="10" name="YoY" tableColumnId="10"/>
      <queryTableField id="11" name="上月=100" tableColumnId="11"/>
      <queryTableField id="12" name="上年同月=100" tableColumnId="12"/>
      <queryTableField id="13" name="YTD(%)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67F5A8E-596D-F943-B4A8-EFDEF6C4262B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Value" tableColumnId="2"/>
      <queryTableField id="3" name="Region" tableColumnId="3"/>
      <queryTableField id="4" name="Type" tableColumnId="4"/>
      <queryTableField id="5" name="ReleaseDate(ObservationDate)" tableColumnId="5"/>
      <queryTableField id="6" name="索引" tableColumnId="6"/>
      <queryTableField id="7" name="Price_Prev_Month" tableColumnId="7"/>
      <queryTableField id="8" name="Price_Prev_Year" tableColumnId="8"/>
      <queryTableField id="9" name="MoM" tableColumnId="9"/>
      <queryTableField id="10" name="YoY" tableColumnId="10"/>
      <queryTableField id="11" name="上月=100" tableColumnId="11"/>
      <queryTableField id="12" name="上年同月=100" tableColumnId="12"/>
      <queryTableField id="13" name="YTD(%)" tableColumnId="1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D706D6D1-0E54-BF43-ADD1-EDE020C5F149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Value" tableColumnId="2"/>
      <queryTableField id="3" name="Region" tableColumnId="3"/>
      <queryTableField id="4" name="Type" tableColumnId="4"/>
      <queryTableField id="5" name="ReleaseDate(ObservationDate)" tableColumnId="5"/>
      <queryTableField id="6" name="索引" tableColumnId="6"/>
      <queryTableField id="7" name="Price_Prev_Month" tableColumnId="7"/>
      <queryTableField id="8" name="Price_Prev_Year" tableColumnId="8"/>
      <queryTableField id="9" name="MoM" tableColumnId="9"/>
      <queryTableField id="10" name="YoY" tableColumnId="10"/>
      <queryTableField id="11" name="上月=100" tableColumnId="11"/>
      <queryTableField id="12" name="上年同月=100" tableColumnId="12"/>
      <queryTableField id="13" name="YTD(%)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71E2419-C1B1-CC41-919E-A0869129F2ED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Value" tableColumnId="2"/>
      <queryTableField id="3" name="Region" tableColumnId="3"/>
      <queryTableField id="4" name="Type" tableColumnId="4"/>
      <queryTableField id="5" name="ReleaseDate(ObservationDate)" tableColumnId="5"/>
      <queryTableField id="6" name="索引" tableColumnId="6"/>
      <queryTableField id="7" name="Price_Prev_Month" tableColumnId="7"/>
      <queryTableField id="8" name="Price_Prev_Year" tableColumnId="8"/>
      <queryTableField id="9" name="MoM" tableColumnId="9"/>
      <queryTableField id="10" name="YoY" tableColumnId="10"/>
      <queryTableField id="11" name="上月=100" tableColumnId="11"/>
      <queryTableField id="12" name="上年同月=100" tableColumnId="12"/>
      <queryTableField id="13" name="YTD(%)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4523F11-5391-AB45-86E1-ABAEF847435E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Value" tableColumnId="2"/>
      <queryTableField id="3" name="Region" tableColumnId="3"/>
      <queryTableField id="4" name="Type" tableColumnId="4"/>
      <queryTableField id="5" name="ReleaseDate(ObservationDate)" tableColumnId="5"/>
      <queryTableField id="6" name="索引" tableColumnId="6"/>
      <queryTableField id="7" name="Price_Prev_Month" tableColumnId="7"/>
      <queryTableField id="8" name="Price_Prev_Year" tableColumnId="8"/>
      <queryTableField id="9" name="MoM" tableColumnId="9"/>
      <queryTableField id="10" name="YoY" tableColumnId="10"/>
      <queryTableField id="11" name="上月=100" tableColumnId="11"/>
      <queryTableField id="12" name="上年同月=100" tableColumnId="12"/>
      <queryTableField id="13" name="YTD(%)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01295C-C38B-984E-843D-A42CD6AA8A28}" name="Processed_CN_SZ" displayName="Processed_CN_SZ" ref="A1:M24" tableType="queryTable" totalsRowShown="0">
  <autoFilter ref="A1:M24" xr:uid="{2E01295C-C38B-984E-843D-A42CD6AA8A28}"/>
  <tableColumns count="13">
    <tableColumn id="1" xr3:uid="{064CA3F1-611E-6E4D-BA50-4AB6879EDABD}" uniqueName="1" name="Date" queryTableFieldId="1" dataDxfId="11"/>
    <tableColumn id="2" xr3:uid="{665CBE8E-9DF2-524E-91B7-129CDF2653E0}" uniqueName="2" name="Value" queryTableFieldId="2"/>
    <tableColumn id="3" xr3:uid="{A518855E-46E2-8443-9B99-EDE21A97328E}" uniqueName="3" name="Region" queryTableFieldId="3" dataDxfId="10"/>
    <tableColumn id="4" xr3:uid="{A68BDB41-C2CA-4744-A394-0CB4DEFF6A06}" uniqueName="4" name="Type" queryTableFieldId="4" dataDxfId="9"/>
    <tableColumn id="5" xr3:uid="{1351B38B-C9A9-614E-AA99-119D47D44313}" uniqueName="5" name="ReleaseDate(ObservationDate)" queryTableFieldId="5" dataDxfId="8"/>
    <tableColumn id="6" xr3:uid="{CE0F8A2B-2577-9342-96F1-DC0BE4B7574C}" uniqueName="6" name="索引" queryTableFieldId="6"/>
    <tableColumn id="7" xr3:uid="{B5F88177-E09B-3A41-B3CC-ACFA45FB0829}" uniqueName="7" name="Price_Prev_Month" queryTableFieldId="7"/>
    <tableColumn id="8" xr3:uid="{8FA9F041-BAED-3347-917F-361D0514C198}" uniqueName="8" name="Price_Prev_Year" queryTableFieldId="8"/>
    <tableColumn id="9" xr3:uid="{C5A314E9-05EE-184B-9243-B515EC110200}" uniqueName="9" name="MoM" queryTableFieldId="9"/>
    <tableColumn id="10" xr3:uid="{69BE35B5-5685-834B-93E9-401DE9E0BB0C}" uniqueName="10" name="YoY" queryTableFieldId="10"/>
    <tableColumn id="11" xr3:uid="{6234B9E2-2746-344C-865B-A9E323C0F6D0}" uniqueName="11" name="上月=100" queryTableFieldId="11"/>
    <tableColumn id="12" xr3:uid="{4393B35E-6420-0342-99CA-D552DA8B097B}" uniqueName="12" name="上年同月=100" queryTableFieldId="12"/>
    <tableColumn id="13" xr3:uid="{D2CE9312-BFFC-2D4D-A60C-7F5605D3EAFF}" uniqueName="13" name="YTD(%)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8228E-8AFE-6949-B93A-9E80E041B773}" name="Processed_CN_HK" displayName="Processed_CN_HK" ref="A1:M69" tableType="queryTable" totalsRowShown="0">
  <autoFilter ref="A1:M69" xr:uid="{A668228E-8AFE-6949-B93A-9E80E041B773}"/>
  <tableColumns count="13">
    <tableColumn id="1" xr3:uid="{D1E59232-7D95-EB40-BDED-271655203721}" uniqueName="1" name="Date" queryTableFieldId="1" dataDxfId="7"/>
    <tableColumn id="2" xr3:uid="{2D53112B-D659-A242-9E60-601A62778041}" uniqueName="2" name="Value" queryTableFieldId="2"/>
    <tableColumn id="3" xr3:uid="{FB733D7D-3357-9347-8C3C-FBC1E8714D89}" uniqueName="3" name="Region" queryTableFieldId="3" dataDxfId="19"/>
    <tableColumn id="4" xr3:uid="{25510988-ED4D-CF47-B2FA-F491EF2233C2}" uniqueName="4" name="Type" queryTableFieldId="4" dataDxfId="18"/>
    <tableColumn id="5" xr3:uid="{EA8DBF94-F481-DD47-894D-94CEB099662E}" uniqueName="5" name="ReleaseDate(ObservationDate)" queryTableFieldId="5" dataDxfId="6"/>
    <tableColumn id="6" xr3:uid="{0FA3C9DA-8ACC-BE4C-9195-5C3F595EEFA6}" uniqueName="6" name="索引" queryTableFieldId="6"/>
    <tableColumn id="7" xr3:uid="{9E8BE86A-6E51-FD45-8B89-9ECE251776FF}" uniqueName="7" name="Price_Prev_Month" queryTableFieldId="7"/>
    <tableColumn id="8" xr3:uid="{0EF4842E-A14E-2943-89CD-6E9DED18CD83}" uniqueName="8" name="Price_Prev_Year" queryTableFieldId="8"/>
    <tableColumn id="9" xr3:uid="{7D3CE6F5-4038-4745-B2DA-74CD4E2A4B80}" uniqueName="9" name="MoM" queryTableFieldId="9"/>
    <tableColumn id="10" xr3:uid="{26510B45-9F1B-0F42-BEE7-C9F7B5FFBCC9}" uniqueName="10" name="YoY" queryTableFieldId="10"/>
    <tableColumn id="11" xr3:uid="{B5FE8C8A-39FE-7E48-8771-1805657712FC}" uniqueName="11" name="上月=100" queryTableFieldId="11"/>
    <tableColumn id="12" xr3:uid="{291EF3B4-68B9-3C4B-83FD-48EE50E683F9}" uniqueName="12" name="上年同月=100" queryTableFieldId="12"/>
    <tableColumn id="13" xr3:uid="{7BC119A1-CE66-E446-A323-4539FA40BC32}" uniqueName="13" name="YTD(%)" queryTableField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5E0904-0077-5C4F-8D1D-BD5DB0E8300A}" name="Processed_US_CA" displayName="Processed_US_CA" ref="A1:M68" tableType="queryTable" totalsRowShown="0">
  <autoFilter ref="A1:M68" xr:uid="{345E0904-0077-5C4F-8D1D-BD5DB0E8300A}"/>
  <tableColumns count="13">
    <tableColumn id="1" xr3:uid="{839ECA1F-FCB2-CE49-909D-BEF917E29F4C}" uniqueName="1" name="Date" queryTableFieldId="1" dataDxfId="5"/>
    <tableColumn id="2" xr3:uid="{ED9CE58E-DF97-0143-85D3-BD189E485C22}" uniqueName="2" name="Value" queryTableFieldId="2"/>
    <tableColumn id="3" xr3:uid="{A082EA6C-3FD4-9A4F-BE37-58CF3431BF01}" uniqueName="3" name="Region" queryTableFieldId="3" dataDxfId="17"/>
    <tableColumn id="4" xr3:uid="{4707178B-98B9-5B4D-9117-753D7946FE54}" uniqueName="4" name="Type" queryTableFieldId="4" dataDxfId="16"/>
    <tableColumn id="5" xr3:uid="{3BC2BE2E-6974-544C-A306-7605C0114ED2}" uniqueName="5" name="ReleaseDate(ObservationDate)" queryTableFieldId="5" dataDxfId="4"/>
    <tableColumn id="6" xr3:uid="{94483C88-97DB-7744-8BC3-FEB4218B04E9}" uniqueName="6" name="索引" queryTableFieldId="6"/>
    <tableColumn id="7" xr3:uid="{18983051-B28A-D042-93D7-1A3E91683F47}" uniqueName="7" name="Price_Prev_Month" queryTableFieldId="7"/>
    <tableColumn id="8" xr3:uid="{704EB47C-71BF-0049-B3DD-286BD8770C50}" uniqueName="8" name="Price_Prev_Year" queryTableFieldId="8"/>
    <tableColumn id="9" xr3:uid="{BC7646E6-3440-074A-8ABE-1E2E8C8A694B}" uniqueName="9" name="MoM" queryTableFieldId="9"/>
    <tableColumn id="10" xr3:uid="{15C20BC9-F2AB-BA47-A914-9C06CC795547}" uniqueName="10" name="YoY" queryTableFieldId="10"/>
    <tableColumn id="11" xr3:uid="{33595A2A-2E22-0E45-91B0-A904776E8F78}" uniqueName="11" name="上月=100" queryTableFieldId="11"/>
    <tableColumn id="12" xr3:uid="{8B574CF7-30FC-DB46-B5FC-8BB08D2B8EE9}" uniqueName="12" name="上年同月=100" queryTableFieldId="12"/>
    <tableColumn id="13" xr3:uid="{EB6BAFD6-3F8A-264C-B91F-8C83DA43514B}" uniqueName="13" name="YTD(%)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A05C33-CE2D-DD44-B4CD-86EE7617844E}" name="Processed_RentPrice_CN_HK__2" displayName="Processed_RentPrice_CN_HK__2" ref="A1:M69" tableType="queryTable" totalsRowShown="0">
  <autoFilter ref="A1:M69" xr:uid="{EEA05C33-CE2D-DD44-B4CD-86EE7617844E}"/>
  <tableColumns count="13">
    <tableColumn id="1" xr3:uid="{3130BF33-BE82-C04F-A72F-C84B593F86FA}" uniqueName="1" name="Date" queryTableFieldId="1" dataDxfId="3"/>
    <tableColumn id="2" xr3:uid="{2E5D16A7-E903-1E44-AB24-5C76F52C87CD}" uniqueName="2" name="Value" queryTableFieldId="2"/>
    <tableColumn id="3" xr3:uid="{6CCE28BD-ED53-2F4D-93B7-E762AF470851}" uniqueName="3" name="Region" queryTableFieldId="3" dataDxfId="15"/>
    <tableColumn id="4" xr3:uid="{178CA725-D68B-B648-88AD-EF529118A71D}" uniqueName="4" name="Type" queryTableFieldId="4" dataDxfId="14"/>
    <tableColumn id="5" xr3:uid="{281195CE-398D-EF4D-9983-284EDAC111F5}" uniqueName="5" name="ReleaseDate(ObservationDate)" queryTableFieldId="5" dataDxfId="2"/>
    <tableColumn id="6" xr3:uid="{9F48A39B-88B4-5E4F-9CDF-17207768EAAD}" uniqueName="6" name="索引" queryTableFieldId="6"/>
    <tableColumn id="7" xr3:uid="{2435F293-1039-394C-8076-3E8814871399}" uniqueName="7" name="Price_Prev_Month" queryTableFieldId="7"/>
    <tableColumn id="8" xr3:uid="{FACC17AA-C548-2D47-BAFC-77CD0FF063DA}" uniqueName="8" name="Price_Prev_Year" queryTableFieldId="8"/>
    <tableColumn id="9" xr3:uid="{3CFB213F-5732-B547-8893-6BF54E410418}" uniqueName="9" name="MoM" queryTableFieldId="9"/>
    <tableColumn id="10" xr3:uid="{E1C11F37-C8A2-6A48-8405-66C5D9D898ED}" uniqueName="10" name="YoY" queryTableFieldId="10"/>
    <tableColumn id="11" xr3:uid="{F254FC55-59DE-1E4B-8CA6-FCED7E5BB948}" uniqueName="11" name="上月=100" queryTableFieldId="11"/>
    <tableColumn id="12" xr3:uid="{D2D36ACA-A8DD-8445-85F6-BADFA3AB8614}" uniqueName="12" name="上年同月=100" queryTableFieldId="12"/>
    <tableColumn id="13" xr3:uid="{5AEAA10E-0918-FB4F-8D64-9E652719F5F9}" uniqueName="13" name="YTD(%)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B058DC-488B-574D-889C-352D3A8E1EEA}" name="Processed_RentPrice_US_CA__2" displayName="Processed_RentPrice_US_CA__2" ref="A1:M69" tableType="queryTable" totalsRowShown="0">
  <autoFilter ref="A1:M69" xr:uid="{5BB058DC-488B-574D-889C-352D3A8E1EEA}"/>
  <tableColumns count="13">
    <tableColumn id="1" xr3:uid="{480AB120-2152-2440-BC03-EB6C8B2EDED7}" uniqueName="1" name="Date" queryTableFieldId="1" dataDxfId="1"/>
    <tableColumn id="2" xr3:uid="{592A00D3-04E6-094F-ADBE-1BEB0F9429F6}" uniqueName="2" name="Value" queryTableFieldId="2"/>
    <tableColumn id="3" xr3:uid="{0FA98592-C625-E34D-9F0F-171F6B1240F9}" uniqueName="3" name="Region" queryTableFieldId="3" dataDxfId="13"/>
    <tableColumn id="4" xr3:uid="{9244DBB9-10C6-644B-95F2-6F23448654DE}" uniqueName="4" name="Type" queryTableFieldId="4" dataDxfId="12"/>
    <tableColumn id="5" xr3:uid="{96245B1C-BEF6-3843-83E1-0628A8A88FFC}" uniqueName="5" name="ReleaseDate(ObservationDate)" queryTableFieldId="5" dataDxfId="0"/>
    <tableColumn id="6" xr3:uid="{83CFA6FA-CB34-D44B-A026-AA1F53CBE2EF}" uniqueName="6" name="索引" queryTableFieldId="6"/>
    <tableColumn id="7" xr3:uid="{1F515746-97D2-4B45-8178-2F9FB55D4F77}" uniqueName="7" name="Price_Prev_Month" queryTableFieldId="7"/>
    <tableColumn id="8" xr3:uid="{D4375531-2DFA-B441-B895-3DA51639AB7A}" uniqueName="8" name="Price_Prev_Year" queryTableFieldId="8"/>
    <tableColumn id="9" xr3:uid="{1DB01334-18D2-024F-8B59-E476271EA868}" uniqueName="9" name="MoM" queryTableFieldId="9"/>
    <tableColumn id="10" xr3:uid="{4E901DB5-60A5-FC45-AA7E-A26C19A8A08C}" uniqueName="10" name="YoY" queryTableFieldId="10"/>
    <tableColumn id="11" xr3:uid="{06ACCB27-0643-C64F-945F-32C76465ACC4}" uniqueName="11" name="上月=100" queryTableFieldId="11"/>
    <tableColumn id="12" xr3:uid="{5563AE63-67E0-474C-82D3-F6A9813CC782}" uniqueName="12" name="上年同月=100" queryTableFieldId="12"/>
    <tableColumn id="13" xr3:uid="{F238865E-8854-1B4B-B641-5A3D870FC0A3}" uniqueName="13" name="YTD(%)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njuke.com/fangjia/shenzhen2020/" TargetMode="External"/><Relationship Id="rId2" Type="http://schemas.openxmlformats.org/officeDocument/2006/relationships/hyperlink" Target="https://www.rvd.gov.hk/doc/en/statistics/full.pdf" TargetMode="External"/><Relationship Id="rId1" Type="http://schemas.openxmlformats.org/officeDocument/2006/relationships/hyperlink" Target="https://fred.stlouisfed.org/series/SFXRSA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12EA-35E0-5847-9779-C5175DBEE4DA}">
  <dimension ref="A1:F16"/>
  <sheetViews>
    <sheetView tabSelected="1" zoomScale="151" zoomScaleNormal="150" workbookViewId="0">
      <selection activeCell="F7" sqref="F7"/>
    </sheetView>
  </sheetViews>
  <sheetFormatPr baseColWidth="10" defaultRowHeight="28"/>
  <sheetData>
    <row r="1" spans="1:6">
      <c r="A1" s="29" t="s">
        <v>7</v>
      </c>
      <c r="B1" s="27"/>
      <c r="C1" s="32" t="s">
        <v>8</v>
      </c>
      <c r="D1" s="32" t="s">
        <v>9</v>
      </c>
      <c r="E1" s="33" t="s">
        <v>10</v>
      </c>
    </row>
    <row r="2" spans="1:6">
      <c r="A2" s="23"/>
      <c r="B2" s="24"/>
      <c r="C2" s="4" t="s">
        <v>0</v>
      </c>
      <c r="D2" s="4">
        <v>379.7</v>
      </c>
      <c r="E2" s="5">
        <v>273.34710999999999</v>
      </c>
    </row>
    <row r="3" spans="1:6">
      <c r="A3" s="25" t="s">
        <v>11</v>
      </c>
      <c r="B3" s="3" t="s">
        <v>42</v>
      </c>
      <c r="C3" s="35" cm="1">
        <f t="array" ref="C3">ROUND(_xlfn.XLOOKUP(MAX(Processed_CN_SZ[Date]), Processed_CN_SZ[Date], Processed_CN_SZ[Value]) / AVERAGE(_xlfn._xlws.FILTER(Processed_CN_SZ[Value], YEAR(Processed_CN_SZ[Date])=2020)), 3) * 100</f>
        <v>99.4</v>
      </c>
      <c r="D3" s="35" cm="1">
        <f t="array" ref="D3">ROUND(_xlfn.XLOOKUP(MAX(Processed_CN_HK[Date]), Processed_CN_HK[Date], Processed_CN_HK[Value]) / AVERAGE(_xlfn._xlws.FILTER(Processed_CN_HK[Value], YEAR(Processed_CN_HK[Date])=2020)), 3) * 100</f>
        <v>75.599999999999994</v>
      </c>
      <c r="E3" s="36" cm="1">
        <f t="array" ref="E3">ROUND(_xlfn.XLOOKUP(MAX(Processed_US_CA[Date]), Processed_US_CA[Date], Processed_US_CA[Value]) / AVERAGE(_xlfn._xlws.FILTER(Processed_US_CA[Value], YEAR(Processed_US_CA[Date])=2020)), 3) * 100</f>
        <v>149.10000000000002</v>
      </c>
    </row>
    <row r="4" spans="1:6">
      <c r="A4" s="21"/>
      <c r="B4" s="1" t="s">
        <v>12</v>
      </c>
      <c r="C4" s="26">
        <f>_xlfn.XLOOKUP(MAX(Processed_CN_SZ[Date]), Processed_CN_SZ[Date], Processed_CN_SZ[上月=100])</f>
        <v>99.6</v>
      </c>
      <c r="D4" s="26">
        <f>_xlfn.XLOOKUP(MAX(Processed_CN_HK[Date]), Processed_CN_HK[Date], Processed_CN_HK[上月=100])</f>
        <v>100</v>
      </c>
      <c r="E4" s="6">
        <f>_xlfn.XLOOKUP(MAX(Processed_US_CA[Date]), Processed_US_CA[Date], Processed_US_CA[上月=100])</f>
        <v>99.7</v>
      </c>
    </row>
    <row r="5" spans="1:6">
      <c r="A5" s="21"/>
      <c r="B5" s="1" t="s">
        <v>13</v>
      </c>
      <c r="C5" s="26">
        <f>_xlfn.XLOOKUP(MAX(Processed_CN_SZ[Date]), Processed_CN_SZ[Date], Processed_CN_SZ[上年同月=100])</f>
        <v>92.3</v>
      </c>
      <c r="D5" s="26">
        <f>_xlfn.XLOOKUP(MAX(Processed_CN_HK[Date]), Processed_CN_HK[Date], Processed_CN_HK[上年同月=100])</f>
        <v>98.6</v>
      </c>
      <c r="E5" s="6">
        <f>_xlfn.XLOOKUP(MAX(Processed_US_CA[Date]), Processed_US_CA[Date], Processed_US_CA[上年同月=100])</f>
        <v>101.5</v>
      </c>
    </row>
    <row r="6" spans="1:6">
      <c r="A6" s="21"/>
      <c r="B6" s="1" t="s">
        <v>3</v>
      </c>
      <c r="C6" s="26">
        <f>_xlfn.XLOOKUP(MAX(Processed_CN_SZ[Date]), Processed_CN_SZ[Date], Processed_CN_SZ[YoY])</f>
        <v>-7.7</v>
      </c>
      <c r="D6" s="26">
        <f>_xlfn.XLOOKUP(MAX(Processed_CN_HK[Date]), Processed_CN_HK[Date], Processed_CN_HK[YoY])</f>
        <v>-1.4000000000000001</v>
      </c>
      <c r="E6" s="6">
        <f>_xlfn.XLOOKUP(MAX(Processed_US_CA[Date]), Processed_US_CA[Date], Processed_US_CA[YoY])</f>
        <v>1.5</v>
      </c>
    </row>
    <row r="7" spans="1:6">
      <c r="A7" s="21"/>
      <c r="B7" s="1" t="s">
        <v>4</v>
      </c>
      <c r="C7" s="26">
        <f>_xlfn.XLOOKUP(MAX(Processed_CN_SZ[Date]), Processed_CN_SZ[Date], Processed_CN_SZ[MoM])</f>
        <v>-0.4</v>
      </c>
      <c r="D7" s="26">
        <f>_xlfn.XLOOKUP(MAX(Processed_CN_HK[Date]), Processed_CN_HK[Date], Processed_CN_HK[MoM])</f>
        <v>0</v>
      </c>
      <c r="E7" s="6">
        <f>_xlfn.XLOOKUP(MAX(Processed_US_CA[Date]), Processed_US_CA[Date], Processed_US_CA[MoM])</f>
        <v>-0.3</v>
      </c>
    </row>
    <row r="8" spans="1:6">
      <c r="A8" s="22"/>
      <c r="B8" s="2" t="s">
        <v>5</v>
      </c>
      <c r="C8" s="7">
        <f>_xlfn.XLOOKUP(MAX(Processed_CN_SZ[Date]), Processed_CN_SZ[Date], Processed_CN_SZ[YTD(%)])</f>
        <v>-6.7299999999999995</v>
      </c>
      <c r="D8" s="7">
        <f>_xlfn.XLOOKUP(MAX(Processed_CN_HK[Date]), Processed_CN_HK[Date], Processed_CN_HK[YTD(%)])</f>
        <v>0.35000000000000003</v>
      </c>
      <c r="E8" s="8">
        <f>_xlfn.XLOOKUP(MAX(Processed_US_CA[Date]), Processed_US_CA[Date], Processed_US_CA[YTD(%)])</f>
        <v>2.16</v>
      </c>
    </row>
    <row r="9" spans="1:6">
      <c r="A9" s="21" t="s">
        <v>14</v>
      </c>
      <c r="B9" s="1" t="s">
        <v>42</v>
      </c>
      <c r="C9" s="28" t="s">
        <v>43</v>
      </c>
      <c r="D9" s="37" cm="1">
        <f t="array" ref="D9">ROUND(_xlfn.XLOOKUP(MAX(Processed_RentPrice_CN_HK__2[Date]), Processed_RentPrice_CN_HK__2[Date], Processed_RentPrice_CN_HK__2[Value]) / AVERAGE(_xlfn._xlws.FILTER(Processed_RentPrice_CN_HK__2[Value], YEAR(Processed_RentPrice_CN_HK__2[Date])=2020)), 3) * 100</f>
        <v>110.3</v>
      </c>
      <c r="E9" s="38" cm="1">
        <f t="array" ref="E9">ROUND(_xlfn.XLOOKUP(MAX(Processed_RentPrice_US_CA__2[Date]), Processed_RentPrice_US_CA__2[Date], Processed_RentPrice_US_CA__2[Value]) / AVERAGE(_xlfn._xlws.FILTER(Processed_RentPrice_US_CA__2[Value], YEAR(Processed_RentPrice_US_CA__2[Date])=2020)), 3) * 100</f>
        <v>111.3</v>
      </c>
    </row>
    <row r="10" spans="1:6">
      <c r="A10" s="21"/>
      <c r="B10" s="1" t="s">
        <v>12</v>
      </c>
      <c r="C10" s="28" t="s">
        <v>43</v>
      </c>
      <c r="D10" s="26">
        <f>_xlfn.XLOOKUP(MAX(Processed_RentPrice_CN_HK__2[Date]), Processed_RentPrice_CN_HK__2[Date], Processed_RentPrice_CN_HK__2[上月=100])</f>
        <v>101.5</v>
      </c>
      <c r="E10" s="6">
        <f>_xlfn.XLOOKUP(MAX(Processed_RentPrice_US_CA__2[Date]), Processed_RentPrice_US_CA__2[Date], Processed_RentPrice_US_CA__2[上月=100])</f>
        <v>100.2</v>
      </c>
      <c r="F10" s="9"/>
    </row>
    <row r="11" spans="1:6">
      <c r="A11" s="21"/>
      <c r="B11" s="1" t="s">
        <v>13</v>
      </c>
      <c r="C11" s="28" t="s">
        <v>43</v>
      </c>
      <c r="D11" s="26">
        <f>_xlfn.XLOOKUP(MAX(Processed_RentPrice_CN_HK__2[Date]), Processed_RentPrice_CN_HK__2[Date], Processed_RentPrice_CN_HK__2[上年同月=100])</f>
        <v>102.1</v>
      </c>
      <c r="E11" s="6">
        <f>_xlfn.XLOOKUP(MAX(Processed_RentPrice_US_CA__2[Date]), Processed_RentPrice_US_CA__2[Date], Processed_RentPrice_US_CA__2[上年同月=100])</f>
        <v>102.2</v>
      </c>
    </row>
    <row r="12" spans="1:6">
      <c r="A12" s="21"/>
      <c r="B12" s="1" t="s">
        <v>3</v>
      </c>
      <c r="C12" s="28" t="s">
        <v>43</v>
      </c>
      <c r="D12" s="26">
        <f>_xlfn.XLOOKUP(MAX(Processed_RentPrice_CN_HK__2[Date]), Processed_RentPrice_CN_HK__2[Date], Processed_RentPrice_CN_HK__2[YoY])</f>
        <v>2.1</v>
      </c>
      <c r="E12" s="6">
        <f>_xlfn.XLOOKUP(MAX(Processed_RentPrice_US_CA__2[Date]), Processed_RentPrice_US_CA__2[Date], Processed_RentPrice_US_CA__2[YoY])</f>
        <v>2.1999999999999997</v>
      </c>
    </row>
    <row r="13" spans="1:6">
      <c r="A13" s="21"/>
      <c r="B13" s="1" t="s">
        <v>4</v>
      </c>
      <c r="C13" s="28" t="s">
        <v>43</v>
      </c>
      <c r="D13" s="26">
        <f>_xlfn.XLOOKUP(MAX(Processed_RentPrice_CN_HK__2[Date]), Processed_RentPrice_CN_HK__2[Date], Processed_RentPrice_CN_HK__2[MoM])</f>
        <v>1.5</v>
      </c>
      <c r="E13" s="6">
        <f>_xlfn.XLOOKUP(MAX(Processed_RentPrice_US_CA__2[Date]), Processed_RentPrice_US_CA__2[Date], Processed_RentPrice_US_CA__2[MoM])</f>
        <v>0.2</v>
      </c>
    </row>
    <row r="14" spans="1:6">
      <c r="A14" s="21"/>
      <c r="B14" s="1" t="s">
        <v>5</v>
      </c>
      <c r="C14" s="28" t="s">
        <v>43</v>
      </c>
      <c r="D14" s="26">
        <f>_xlfn.XLOOKUP(MAX(Processed_RentPrice_CN_HK__2[Date]), Processed_RentPrice_CN_HK__2[Date], Processed_RentPrice_CN_HK__2[YTD(%)])</f>
        <v>3.11</v>
      </c>
      <c r="E14" s="6">
        <f>_xlfn.XLOOKUP(MAX(Processed_RentPrice_US_CA__2[Date]), Processed_RentPrice_US_CA__2[Date], Processed_RentPrice_US_CA__2[YTD(%)])</f>
        <v>0.38999999999999996</v>
      </c>
    </row>
    <row r="15" spans="1:6">
      <c r="A15" s="29" t="s">
        <v>15</v>
      </c>
      <c r="B15" s="27"/>
      <c r="C15" s="30" t="s">
        <v>16</v>
      </c>
      <c r="D15" s="30" t="s">
        <v>17</v>
      </c>
      <c r="E15" s="31" t="s">
        <v>6</v>
      </c>
    </row>
    <row r="16" spans="1:6">
      <c r="A16" s="23"/>
      <c r="B16" s="24"/>
      <c r="C16" s="19"/>
      <c r="D16" s="19"/>
      <c r="E16" s="20"/>
    </row>
  </sheetData>
  <mergeCells count="7">
    <mergeCell ref="D15:D16"/>
    <mergeCell ref="E15:E16"/>
    <mergeCell ref="C15:C16"/>
    <mergeCell ref="A3:A8"/>
    <mergeCell ref="A9:A14"/>
    <mergeCell ref="A1:B2"/>
    <mergeCell ref="A15:B16"/>
  </mergeCells>
  <phoneticPr fontId="2" type="noConversion"/>
  <hyperlinks>
    <hyperlink ref="E2" r:id="rId1" display="https://fred.stlouisfed.org/series/SFXRSA" xr:uid="{9DBF73B8-B3DC-114A-AFF2-FF00082A6E66}"/>
    <hyperlink ref="D2" r:id="rId2" display="https://www.rvd.gov.hk/doc/en/statistics/full.pdf" xr:uid="{BA11494F-1D0B-C14F-AE10-568601ABD742}"/>
    <hyperlink ref="C2" r:id="rId3" display="https://www.anjuke.com/fangjia/shenzhen2020/" xr:uid="{33E7F217-C37E-3A41-AA0F-4665A10DAAAF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788-1B69-1D47-87B7-5ECE4822BC1E}">
  <dimension ref="A1:M24"/>
  <sheetViews>
    <sheetView workbookViewId="0">
      <selection activeCell="L21" sqref="L21"/>
    </sheetView>
  </sheetViews>
  <sheetFormatPr baseColWidth="10" defaultRowHeight="28"/>
  <cols>
    <col min="1" max="1" width="10.5" bestFit="1" customWidth="1"/>
    <col min="2" max="2" width="7.08203125" bestFit="1" customWidth="1"/>
    <col min="3" max="3" width="8.33203125" hidden="1" customWidth="1"/>
    <col min="4" max="4" width="14.33203125" hidden="1" customWidth="1"/>
    <col min="5" max="5" width="28.6640625" hidden="1" customWidth="1"/>
    <col min="6" max="6" width="6.08203125" hidden="1" customWidth="1"/>
    <col min="7" max="7" width="17.5" hidden="1" customWidth="1"/>
    <col min="8" max="8" width="15.5" hidden="1" customWidth="1"/>
    <col min="9" max="9" width="6.83203125" bestFit="1" customWidth="1"/>
    <col min="10" max="10" width="5.6640625" bestFit="1" customWidth="1"/>
    <col min="11" max="11" width="10.4140625" bestFit="1" customWidth="1"/>
    <col min="12" max="12" width="14.1640625" bestFit="1" customWidth="1"/>
    <col min="13" max="13" width="7.9140625" bestFit="1" customWidth="1"/>
  </cols>
  <sheetData>
    <row r="1" spans="1:13">
      <c r="A1" t="s">
        <v>18</v>
      </c>
      <c r="B1" t="s">
        <v>20</v>
      </c>
      <c r="C1" t="s">
        <v>24</v>
      </c>
      <c r="D1" t="s">
        <v>22</v>
      </c>
      <c r="E1" t="s">
        <v>30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1</v>
      </c>
      <c r="L1" t="s">
        <v>2</v>
      </c>
      <c r="M1" t="s">
        <v>38</v>
      </c>
    </row>
    <row r="2" spans="1:13">
      <c r="A2" s="13">
        <v>43831</v>
      </c>
      <c r="B2">
        <v>54914</v>
      </c>
      <c r="C2" s="34" t="s">
        <v>28</v>
      </c>
      <c r="D2" s="34" t="s">
        <v>26</v>
      </c>
      <c r="E2" s="13">
        <v>43831</v>
      </c>
      <c r="F2">
        <v>0</v>
      </c>
      <c r="M2">
        <v>0</v>
      </c>
    </row>
    <row r="3" spans="1:13">
      <c r="A3" s="13">
        <v>45292</v>
      </c>
      <c r="B3">
        <v>63948</v>
      </c>
      <c r="C3" s="34" t="s">
        <v>28</v>
      </c>
      <c r="D3" s="34" t="s">
        <v>26</v>
      </c>
      <c r="E3" s="13">
        <v>45292</v>
      </c>
      <c r="F3">
        <v>1</v>
      </c>
      <c r="G3">
        <v>54914</v>
      </c>
      <c r="I3">
        <v>16.5</v>
      </c>
      <c r="K3">
        <v>116.5</v>
      </c>
      <c r="M3">
        <v>0</v>
      </c>
    </row>
    <row r="4" spans="1:13">
      <c r="A4" s="13">
        <v>45323</v>
      </c>
      <c r="B4">
        <v>65093</v>
      </c>
      <c r="C4" s="34" t="s">
        <v>28</v>
      </c>
      <c r="D4" s="34" t="s">
        <v>26</v>
      </c>
      <c r="E4" s="13">
        <v>45323</v>
      </c>
      <c r="F4">
        <v>2</v>
      </c>
      <c r="G4">
        <v>63948</v>
      </c>
      <c r="I4">
        <v>1.7999999999999998</v>
      </c>
      <c r="K4">
        <v>101.8</v>
      </c>
      <c r="M4">
        <v>1.79</v>
      </c>
    </row>
    <row r="5" spans="1:13">
      <c r="A5" s="13">
        <v>45352</v>
      </c>
      <c r="B5">
        <v>63948</v>
      </c>
      <c r="C5" s="34" t="s">
        <v>28</v>
      </c>
      <c r="D5" s="34" t="s">
        <v>26</v>
      </c>
      <c r="E5" s="13">
        <v>45352</v>
      </c>
      <c r="F5">
        <v>3</v>
      </c>
      <c r="G5">
        <v>65093</v>
      </c>
      <c r="I5">
        <v>-1.7999999999999998</v>
      </c>
      <c r="K5">
        <v>98.2</v>
      </c>
      <c r="M5">
        <v>0</v>
      </c>
    </row>
    <row r="6" spans="1:13">
      <c r="A6" s="13">
        <v>45383</v>
      </c>
      <c r="B6">
        <v>63001</v>
      </c>
      <c r="C6" s="34" t="s">
        <v>28</v>
      </c>
      <c r="D6" s="34" t="s">
        <v>26</v>
      </c>
      <c r="E6" s="13">
        <v>45383</v>
      </c>
      <c r="F6">
        <v>4</v>
      </c>
      <c r="G6">
        <v>63948</v>
      </c>
      <c r="I6">
        <v>-1.5</v>
      </c>
      <c r="K6">
        <v>98.5</v>
      </c>
      <c r="M6">
        <v>-1.48</v>
      </c>
    </row>
    <row r="7" spans="1:13">
      <c r="A7" s="13">
        <v>45413</v>
      </c>
      <c r="B7">
        <v>62221</v>
      </c>
      <c r="C7" s="34" t="s">
        <v>28</v>
      </c>
      <c r="D7" s="34" t="s">
        <v>26</v>
      </c>
      <c r="E7" s="13">
        <v>45413</v>
      </c>
      <c r="F7">
        <v>5</v>
      </c>
      <c r="G7">
        <v>63001</v>
      </c>
      <c r="I7">
        <v>-1.2</v>
      </c>
      <c r="K7">
        <v>98.8</v>
      </c>
      <c r="M7">
        <v>-2.7</v>
      </c>
    </row>
    <row r="8" spans="1:13">
      <c r="A8" s="13">
        <v>45444</v>
      </c>
      <c r="B8">
        <v>62093</v>
      </c>
      <c r="C8" s="34" t="s">
        <v>28</v>
      </c>
      <c r="D8" s="34" t="s">
        <v>26</v>
      </c>
      <c r="E8" s="13">
        <v>45444</v>
      </c>
      <c r="F8">
        <v>6</v>
      </c>
      <c r="G8">
        <v>62221</v>
      </c>
      <c r="I8">
        <v>-0.2</v>
      </c>
      <c r="K8">
        <v>99.8</v>
      </c>
      <c r="M8">
        <v>-2.9000000000000004</v>
      </c>
    </row>
    <row r="9" spans="1:13">
      <c r="A9" s="13">
        <v>45474</v>
      </c>
      <c r="B9">
        <v>61715</v>
      </c>
      <c r="C9" s="34" t="s">
        <v>28</v>
      </c>
      <c r="D9" s="34" t="s">
        <v>26</v>
      </c>
      <c r="E9" s="13">
        <v>45474</v>
      </c>
      <c r="F9">
        <v>7</v>
      </c>
      <c r="G9">
        <v>62093</v>
      </c>
      <c r="I9">
        <v>-0.6</v>
      </c>
      <c r="K9">
        <v>99.4</v>
      </c>
      <c r="M9">
        <v>-3.49</v>
      </c>
    </row>
    <row r="10" spans="1:13">
      <c r="A10" s="13">
        <v>45505</v>
      </c>
      <c r="B10">
        <v>61323</v>
      </c>
      <c r="C10" s="34" t="s">
        <v>28</v>
      </c>
      <c r="D10" s="34" t="s">
        <v>26</v>
      </c>
      <c r="E10" s="13">
        <v>45505</v>
      </c>
      <c r="F10">
        <v>8</v>
      </c>
      <c r="G10">
        <v>61715</v>
      </c>
      <c r="I10">
        <v>-0.6</v>
      </c>
      <c r="K10">
        <v>99.4</v>
      </c>
      <c r="M10">
        <v>-4.1000000000000005</v>
      </c>
    </row>
    <row r="11" spans="1:13">
      <c r="A11" s="13">
        <v>45536</v>
      </c>
      <c r="B11">
        <v>59852</v>
      </c>
      <c r="C11" s="34" t="s">
        <v>28</v>
      </c>
      <c r="D11" s="34" t="s">
        <v>26</v>
      </c>
      <c r="E11" s="13">
        <v>45536</v>
      </c>
      <c r="F11">
        <v>9</v>
      </c>
      <c r="G11">
        <v>61323</v>
      </c>
      <c r="I11">
        <v>-2.4</v>
      </c>
      <c r="K11">
        <v>97.6</v>
      </c>
      <c r="M11">
        <v>-6.41</v>
      </c>
    </row>
    <row r="12" spans="1:13">
      <c r="A12" s="13">
        <v>45566</v>
      </c>
      <c r="B12">
        <v>59148</v>
      </c>
      <c r="C12" s="34" t="s">
        <v>28</v>
      </c>
      <c r="D12" s="34" t="s">
        <v>26</v>
      </c>
      <c r="E12" s="13">
        <v>45566</v>
      </c>
      <c r="F12">
        <v>10</v>
      </c>
      <c r="G12">
        <v>59852</v>
      </c>
      <c r="I12">
        <v>-1.2</v>
      </c>
      <c r="K12">
        <v>98.8</v>
      </c>
      <c r="M12">
        <v>-7.51</v>
      </c>
    </row>
    <row r="13" spans="1:13">
      <c r="A13" s="13">
        <v>45597</v>
      </c>
      <c r="B13">
        <v>58256</v>
      </c>
      <c r="C13" s="34" t="s">
        <v>28</v>
      </c>
      <c r="D13" s="34" t="s">
        <v>26</v>
      </c>
      <c r="E13" s="13">
        <v>45597</v>
      </c>
      <c r="F13">
        <v>11</v>
      </c>
      <c r="G13">
        <v>59148</v>
      </c>
      <c r="I13">
        <v>-1.5</v>
      </c>
      <c r="K13">
        <v>98.5</v>
      </c>
      <c r="M13">
        <v>-8.9</v>
      </c>
    </row>
    <row r="14" spans="1:13">
      <c r="A14" s="13">
        <v>45627</v>
      </c>
      <c r="B14">
        <v>58499</v>
      </c>
      <c r="C14" s="34" t="s">
        <v>28</v>
      </c>
      <c r="D14" s="34" t="s">
        <v>26</v>
      </c>
      <c r="E14" s="13">
        <v>45627</v>
      </c>
      <c r="F14">
        <v>12</v>
      </c>
      <c r="G14">
        <v>58256</v>
      </c>
      <c r="H14">
        <v>54914</v>
      </c>
      <c r="I14">
        <v>0.4</v>
      </c>
      <c r="J14">
        <v>6.5</v>
      </c>
      <c r="K14">
        <v>100.4</v>
      </c>
      <c r="L14">
        <v>106.5</v>
      </c>
      <c r="M14">
        <v>-8.52</v>
      </c>
    </row>
    <row r="15" spans="1:13">
      <c r="A15" s="13">
        <v>45658</v>
      </c>
      <c r="B15">
        <v>58518</v>
      </c>
      <c r="C15" s="34" t="s">
        <v>28</v>
      </c>
      <c r="D15" s="34" t="s">
        <v>26</v>
      </c>
      <c r="E15" s="13">
        <v>45658</v>
      </c>
      <c r="F15">
        <v>13</v>
      </c>
      <c r="G15">
        <v>58499</v>
      </c>
      <c r="H15">
        <v>63948</v>
      </c>
      <c r="I15">
        <v>0</v>
      </c>
      <c r="J15">
        <v>-8.5</v>
      </c>
      <c r="K15">
        <v>100</v>
      </c>
      <c r="L15">
        <v>91.5</v>
      </c>
      <c r="M15">
        <v>0</v>
      </c>
    </row>
    <row r="16" spans="1:13">
      <c r="A16" s="13">
        <v>45689</v>
      </c>
      <c r="B16">
        <v>59245</v>
      </c>
      <c r="C16" s="34" t="s">
        <v>28</v>
      </c>
      <c r="D16" s="34" t="s">
        <v>26</v>
      </c>
      <c r="E16" s="13">
        <v>45689</v>
      </c>
      <c r="F16">
        <v>14</v>
      </c>
      <c r="G16">
        <v>58518</v>
      </c>
      <c r="H16">
        <v>65093</v>
      </c>
      <c r="I16">
        <v>1.2</v>
      </c>
      <c r="J16">
        <v>-9</v>
      </c>
      <c r="K16">
        <v>101.2</v>
      </c>
      <c r="L16">
        <v>91</v>
      </c>
      <c r="M16">
        <v>1.24</v>
      </c>
    </row>
    <row r="17" spans="1:13">
      <c r="A17" s="13">
        <v>45717</v>
      </c>
      <c r="B17">
        <v>58586</v>
      </c>
      <c r="C17" s="34" t="s">
        <v>28</v>
      </c>
      <c r="D17" s="34" t="s">
        <v>26</v>
      </c>
      <c r="E17" s="13">
        <v>45717</v>
      </c>
      <c r="F17">
        <v>15</v>
      </c>
      <c r="G17">
        <v>59245</v>
      </c>
      <c r="H17">
        <v>63948</v>
      </c>
      <c r="I17">
        <v>-1.0999999999999999</v>
      </c>
      <c r="J17">
        <v>-8.4</v>
      </c>
      <c r="K17">
        <v>98.9</v>
      </c>
      <c r="L17">
        <v>91.6</v>
      </c>
      <c r="M17">
        <v>0.12</v>
      </c>
    </row>
    <row r="18" spans="1:13">
      <c r="A18" s="13">
        <v>45748</v>
      </c>
      <c r="B18">
        <v>57856</v>
      </c>
      <c r="C18" s="34" t="s">
        <v>28</v>
      </c>
      <c r="D18" s="34" t="s">
        <v>26</v>
      </c>
      <c r="E18" s="13">
        <v>45748</v>
      </c>
      <c r="F18">
        <v>16</v>
      </c>
      <c r="G18">
        <v>58586</v>
      </c>
      <c r="H18">
        <v>63001</v>
      </c>
      <c r="I18">
        <v>-1.2</v>
      </c>
      <c r="J18">
        <v>-8.2000000000000011</v>
      </c>
      <c r="K18">
        <v>98.8</v>
      </c>
      <c r="L18">
        <v>91.8</v>
      </c>
      <c r="M18">
        <v>-1.1299999999999999</v>
      </c>
    </row>
    <row r="19" spans="1:13">
      <c r="A19" s="13">
        <v>45778</v>
      </c>
      <c r="B19">
        <v>57823</v>
      </c>
      <c r="C19" s="34" t="s">
        <v>28</v>
      </c>
      <c r="D19" s="34" t="s">
        <v>26</v>
      </c>
      <c r="E19" s="13">
        <v>45778</v>
      </c>
      <c r="F19">
        <v>17</v>
      </c>
      <c r="G19">
        <v>57856</v>
      </c>
      <c r="H19">
        <v>62221</v>
      </c>
      <c r="I19">
        <v>-0.1</v>
      </c>
      <c r="J19">
        <v>-7.1</v>
      </c>
      <c r="K19">
        <v>99.9</v>
      </c>
      <c r="L19">
        <v>92.9</v>
      </c>
      <c r="M19">
        <v>-1.1900000000000002</v>
      </c>
    </row>
    <row r="20" spans="1:13">
      <c r="A20" s="13">
        <v>45809</v>
      </c>
      <c r="B20">
        <v>56960</v>
      </c>
      <c r="C20" s="34" t="s">
        <v>28</v>
      </c>
      <c r="D20" s="34" t="s">
        <v>26</v>
      </c>
      <c r="E20" s="13">
        <v>45809</v>
      </c>
      <c r="F20">
        <v>18</v>
      </c>
      <c r="G20">
        <v>57823</v>
      </c>
      <c r="H20">
        <v>62093</v>
      </c>
      <c r="I20">
        <v>-1.5</v>
      </c>
      <c r="J20">
        <v>-8.3000000000000007</v>
      </c>
      <c r="K20">
        <v>98.5</v>
      </c>
      <c r="L20">
        <v>91.7</v>
      </c>
      <c r="M20">
        <v>-2.6599999999999997</v>
      </c>
    </row>
    <row r="21" spans="1:13">
      <c r="A21" s="13">
        <v>45839</v>
      </c>
      <c r="B21">
        <v>55836</v>
      </c>
      <c r="C21" s="34" t="s">
        <v>28</v>
      </c>
      <c r="D21" s="34" t="s">
        <v>26</v>
      </c>
      <c r="E21" s="13">
        <v>45839</v>
      </c>
      <c r="F21">
        <v>19</v>
      </c>
      <c r="G21">
        <v>56960</v>
      </c>
      <c r="H21">
        <v>61715</v>
      </c>
      <c r="I21">
        <v>-2</v>
      </c>
      <c r="J21">
        <v>-9.5</v>
      </c>
      <c r="K21">
        <v>98</v>
      </c>
      <c r="L21">
        <v>90.5</v>
      </c>
      <c r="M21">
        <v>-4.58</v>
      </c>
    </row>
    <row r="22" spans="1:13">
      <c r="A22" s="13">
        <v>45870</v>
      </c>
      <c r="B22">
        <v>55407</v>
      </c>
      <c r="C22" s="34" t="s">
        <v>28</v>
      </c>
      <c r="D22" s="34" t="s">
        <v>26</v>
      </c>
      <c r="E22" s="13">
        <v>45870</v>
      </c>
      <c r="F22">
        <v>20</v>
      </c>
      <c r="G22">
        <v>55836</v>
      </c>
      <c r="H22">
        <v>61323</v>
      </c>
      <c r="I22">
        <v>-0.8</v>
      </c>
      <c r="J22">
        <v>-9.6</v>
      </c>
      <c r="K22">
        <v>99.2</v>
      </c>
      <c r="L22">
        <v>90.4</v>
      </c>
      <c r="M22">
        <v>-5.3199999999999994</v>
      </c>
    </row>
    <row r="23" spans="1:13">
      <c r="A23" s="13">
        <v>45901</v>
      </c>
      <c r="B23">
        <v>54812</v>
      </c>
      <c r="C23" s="34" t="s">
        <v>28</v>
      </c>
      <c r="D23" s="34" t="s">
        <v>26</v>
      </c>
      <c r="E23" s="13">
        <v>45901</v>
      </c>
      <c r="F23">
        <v>21</v>
      </c>
      <c r="G23">
        <v>55407</v>
      </c>
      <c r="H23">
        <v>59852</v>
      </c>
      <c r="I23">
        <v>-1.0999999999999999</v>
      </c>
      <c r="J23">
        <v>-8.4</v>
      </c>
      <c r="K23">
        <v>98.9</v>
      </c>
      <c r="L23">
        <v>91.6</v>
      </c>
      <c r="M23">
        <v>-6.3299999999999992</v>
      </c>
    </row>
    <row r="24" spans="1:13">
      <c r="A24" s="13">
        <v>45941</v>
      </c>
      <c r="B24">
        <v>54582</v>
      </c>
      <c r="C24" s="34" t="s">
        <v>28</v>
      </c>
      <c r="D24" s="34" t="s">
        <v>26</v>
      </c>
      <c r="E24" s="13">
        <v>45931</v>
      </c>
      <c r="F24">
        <v>22</v>
      </c>
      <c r="G24">
        <v>54812</v>
      </c>
      <c r="H24">
        <v>59148</v>
      </c>
      <c r="I24">
        <v>-0.4</v>
      </c>
      <c r="J24">
        <v>-7.7</v>
      </c>
      <c r="K24">
        <v>99.6</v>
      </c>
      <c r="L24">
        <v>92.3</v>
      </c>
      <c r="M24">
        <v>-6.7299999999999995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786FB-40B9-A444-B135-8903222623C0}">
  <dimension ref="A1:M69"/>
  <sheetViews>
    <sheetView topLeftCell="A44" workbookViewId="0">
      <selection activeCell="B69" sqref="B69"/>
    </sheetView>
  </sheetViews>
  <sheetFormatPr baseColWidth="10" defaultRowHeight="28"/>
  <cols>
    <col min="1" max="1" width="9.5" bestFit="1" customWidth="1"/>
    <col min="2" max="2" width="7.08203125" bestFit="1" customWidth="1"/>
    <col min="3" max="3" width="8.33203125" bestFit="1" customWidth="1"/>
    <col min="4" max="4" width="14.33203125" hidden="1" customWidth="1"/>
    <col min="5" max="5" width="28.6640625" hidden="1" customWidth="1"/>
    <col min="6" max="6" width="6.08203125" hidden="1" customWidth="1"/>
    <col min="7" max="7" width="17.5" hidden="1" customWidth="1"/>
    <col min="8" max="8" width="15.5" hidden="1" customWidth="1"/>
    <col min="9" max="9" width="6.83203125" bestFit="1" customWidth="1"/>
    <col min="10" max="10" width="6.08203125" bestFit="1" customWidth="1"/>
    <col min="11" max="11" width="10.4140625" bestFit="1" customWidth="1"/>
    <col min="12" max="12" width="14.1640625" bestFit="1" customWidth="1"/>
    <col min="13" max="13" width="7.9140625" bestFit="1" customWidth="1"/>
  </cols>
  <sheetData>
    <row r="1" spans="1:13">
      <c r="A1" t="s">
        <v>18</v>
      </c>
      <c r="B1" t="s">
        <v>20</v>
      </c>
      <c r="C1" t="s">
        <v>24</v>
      </c>
      <c r="D1" t="s">
        <v>22</v>
      </c>
      <c r="E1" t="s">
        <v>30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1</v>
      </c>
      <c r="L1" t="s">
        <v>2</v>
      </c>
      <c r="M1" t="s">
        <v>38</v>
      </c>
    </row>
    <row r="2" spans="1:13">
      <c r="A2" s="13">
        <v>43831</v>
      </c>
      <c r="B2">
        <v>380</v>
      </c>
      <c r="C2" t="s">
        <v>39</v>
      </c>
      <c r="D2" t="s">
        <v>26</v>
      </c>
      <c r="E2" s="13">
        <v>43831</v>
      </c>
      <c r="F2">
        <v>0</v>
      </c>
      <c r="M2">
        <v>0</v>
      </c>
    </row>
    <row r="3" spans="1:13">
      <c r="A3" s="13">
        <v>43862</v>
      </c>
      <c r="B3">
        <v>373</v>
      </c>
      <c r="C3" t="s">
        <v>39</v>
      </c>
      <c r="D3" t="s">
        <v>26</v>
      </c>
      <c r="E3" s="13">
        <v>43862</v>
      </c>
      <c r="F3">
        <v>1</v>
      </c>
      <c r="G3">
        <v>380</v>
      </c>
      <c r="I3">
        <v>-1.7999999999999998</v>
      </c>
      <c r="K3">
        <v>98.2</v>
      </c>
      <c r="M3">
        <v>-1.8399999999999999</v>
      </c>
    </row>
    <row r="4" spans="1:13">
      <c r="A4" s="13">
        <v>43891</v>
      </c>
      <c r="B4">
        <v>378</v>
      </c>
      <c r="C4" t="s">
        <v>39</v>
      </c>
      <c r="D4" t="s">
        <v>26</v>
      </c>
      <c r="E4" s="13">
        <v>43891</v>
      </c>
      <c r="F4">
        <v>2</v>
      </c>
      <c r="G4">
        <v>373</v>
      </c>
      <c r="I4">
        <v>1.3</v>
      </c>
      <c r="K4">
        <v>101.3</v>
      </c>
      <c r="M4">
        <v>-0.53</v>
      </c>
    </row>
    <row r="5" spans="1:13">
      <c r="A5" s="13">
        <v>43922</v>
      </c>
      <c r="B5">
        <v>378</v>
      </c>
      <c r="C5" t="s">
        <v>39</v>
      </c>
      <c r="D5" t="s">
        <v>26</v>
      </c>
      <c r="E5" s="13">
        <v>43922</v>
      </c>
      <c r="F5">
        <v>3</v>
      </c>
      <c r="G5">
        <v>378</v>
      </c>
      <c r="I5">
        <v>0</v>
      </c>
      <c r="K5">
        <v>100</v>
      </c>
      <c r="M5">
        <v>-0.53</v>
      </c>
    </row>
    <row r="6" spans="1:13">
      <c r="A6" s="13">
        <v>43952</v>
      </c>
      <c r="B6">
        <v>386</v>
      </c>
      <c r="C6" t="s">
        <v>39</v>
      </c>
      <c r="D6" t="s">
        <v>26</v>
      </c>
      <c r="E6" s="13">
        <v>43952</v>
      </c>
      <c r="F6">
        <v>4</v>
      </c>
      <c r="G6">
        <v>378</v>
      </c>
      <c r="I6">
        <v>2.1</v>
      </c>
      <c r="K6">
        <v>102.1</v>
      </c>
      <c r="M6">
        <v>1.58</v>
      </c>
    </row>
    <row r="7" spans="1:13">
      <c r="A7" s="13">
        <v>43983</v>
      </c>
      <c r="B7">
        <v>387</v>
      </c>
      <c r="C7" t="s">
        <v>39</v>
      </c>
      <c r="D7" t="s">
        <v>26</v>
      </c>
      <c r="E7" s="13">
        <v>43983</v>
      </c>
      <c r="F7">
        <v>5</v>
      </c>
      <c r="G7">
        <v>386</v>
      </c>
      <c r="I7">
        <v>0.3</v>
      </c>
      <c r="K7">
        <v>100.3</v>
      </c>
      <c r="M7">
        <v>1.8399999999999999</v>
      </c>
    </row>
    <row r="8" spans="1:13">
      <c r="A8" s="13">
        <v>44013</v>
      </c>
      <c r="B8">
        <v>385</v>
      </c>
      <c r="C8" t="s">
        <v>39</v>
      </c>
      <c r="D8" t="s">
        <v>26</v>
      </c>
      <c r="E8" s="13">
        <v>44013</v>
      </c>
      <c r="F8">
        <v>6</v>
      </c>
      <c r="G8">
        <v>387</v>
      </c>
      <c r="I8">
        <v>-0.5</v>
      </c>
      <c r="K8">
        <v>99.5</v>
      </c>
      <c r="M8">
        <v>1.32</v>
      </c>
    </row>
    <row r="9" spans="1:13">
      <c r="A9" s="13">
        <v>44044</v>
      </c>
      <c r="B9">
        <v>382</v>
      </c>
      <c r="C9" t="s">
        <v>39</v>
      </c>
      <c r="D9" t="s">
        <v>26</v>
      </c>
      <c r="E9" s="13">
        <v>44044</v>
      </c>
      <c r="F9">
        <v>7</v>
      </c>
      <c r="G9">
        <v>385</v>
      </c>
      <c r="I9">
        <v>-0.8</v>
      </c>
      <c r="K9">
        <v>99.2</v>
      </c>
      <c r="M9">
        <v>0.53</v>
      </c>
    </row>
    <row r="10" spans="1:13">
      <c r="A10" s="13">
        <v>44075</v>
      </c>
      <c r="B10">
        <v>383</v>
      </c>
      <c r="C10" t="s">
        <v>39</v>
      </c>
      <c r="D10" t="s">
        <v>26</v>
      </c>
      <c r="E10" s="13">
        <v>44075</v>
      </c>
      <c r="F10">
        <v>8</v>
      </c>
      <c r="G10">
        <v>382</v>
      </c>
      <c r="I10">
        <v>0.3</v>
      </c>
      <c r="K10">
        <v>100.3</v>
      </c>
      <c r="M10">
        <v>0.79</v>
      </c>
    </row>
    <row r="11" spans="1:13">
      <c r="A11" s="13">
        <v>44105</v>
      </c>
      <c r="B11">
        <v>381</v>
      </c>
      <c r="C11" t="s">
        <v>39</v>
      </c>
      <c r="D11" t="s">
        <v>26</v>
      </c>
      <c r="E11" s="13">
        <v>44105</v>
      </c>
      <c r="F11">
        <v>9</v>
      </c>
      <c r="G11">
        <v>383</v>
      </c>
      <c r="I11">
        <v>-0.5</v>
      </c>
      <c r="K11">
        <v>99.5</v>
      </c>
      <c r="M11">
        <v>0.26</v>
      </c>
    </row>
    <row r="12" spans="1:13">
      <c r="A12" s="13">
        <v>44136</v>
      </c>
      <c r="B12">
        <v>381</v>
      </c>
      <c r="C12" t="s">
        <v>39</v>
      </c>
      <c r="D12" t="s">
        <v>26</v>
      </c>
      <c r="E12" s="13">
        <v>44136</v>
      </c>
      <c r="F12">
        <v>10</v>
      </c>
      <c r="G12">
        <v>381</v>
      </c>
      <c r="I12">
        <v>0</v>
      </c>
      <c r="K12">
        <v>100</v>
      </c>
      <c r="M12">
        <v>0.26</v>
      </c>
    </row>
    <row r="13" spans="1:13">
      <c r="A13" s="13">
        <v>44166</v>
      </c>
      <c r="B13">
        <v>380</v>
      </c>
      <c r="C13" t="s">
        <v>39</v>
      </c>
      <c r="D13" t="s">
        <v>26</v>
      </c>
      <c r="E13" s="13">
        <v>44166</v>
      </c>
      <c r="F13">
        <v>11</v>
      </c>
      <c r="G13">
        <v>381</v>
      </c>
      <c r="I13">
        <v>-0.3</v>
      </c>
      <c r="K13">
        <v>99.7</v>
      </c>
      <c r="M13">
        <v>0</v>
      </c>
    </row>
    <row r="14" spans="1:13">
      <c r="A14" s="13">
        <v>44197</v>
      </c>
      <c r="B14">
        <v>382</v>
      </c>
      <c r="C14" t="s">
        <v>39</v>
      </c>
      <c r="D14" t="s">
        <v>26</v>
      </c>
      <c r="E14" s="13">
        <v>44197</v>
      </c>
      <c r="F14">
        <v>12</v>
      </c>
      <c r="G14">
        <v>380</v>
      </c>
      <c r="H14">
        <v>380</v>
      </c>
      <c r="I14">
        <v>0.5</v>
      </c>
      <c r="J14">
        <v>0.5</v>
      </c>
      <c r="K14">
        <v>100.5</v>
      </c>
      <c r="L14">
        <v>100.5</v>
      </c>
      <c r="M14">
        <v>0</v>
      </c>
    </row>
    <row r="15" spans="1:13">
      <c r="A15" s="13">
        <v>44228</v>
      </c>
      <c r="B15">
        <v>385</v>
      </c>
      <c r="C15" t="s">
        <v>39</v>
      </c>
      <c r="D15" t="s">
        <v>26</v>
      </c>
      <c r="E15" s="13">
        <v>44228</v>
      </c>
      <c r="F15">
        <v>13</v>
      </c>
      <c r="G15">
        <v>382</v>
      </c>
      <c r="H15">
        <v>373</v>
      </c>
      <c r="I15">
        <v>0.8</v>
      </c>
      <c r="J15">
        <v>3.2</v>
      </c>
      <c r="K15">
        <v>100.8</v>
      </c>
      <c r="L15">
        <v>103.2</v>
      </c>
      <c r="M15">
        <v>0.79</v>
      </c>
    </row>
    <row r="16" spans="1:13">
      <c r="A16" s="13">
        <v>44256</v>
      </c>
      <c r="B16">
        <v>390</v>
      </c>
      <c r="C16" t="s">
        <v>39</v>
      </c>
      <c r="D16" t="s">
        <v>26</v>
      </c>
      <c r="E16" s="13">
        <v>44256</v>
      </c>
      <c r="F16">
        <v>14</v>
      </c>
      <c r="G16">
        <v>385</v>
      </c>
      <c r="H16">
        <v>378</v>
      </c>
      <c r="I16">
        <v>1.3</v>
      </c>
      <c r="J16">
        <v>3.2</v>
      </c>
      <c r="K16">
        <v>101.3</v>
      </c>
      <c r="L16">
        <v>103.2</v>
      </c>
      <c r="M16">
        <v>2.09</v>
      </c>
    </row>
    <row r="17" spans="1:13">
      <c r="A17" s="13">
        <v>44287</v>
      </c>
      <c r="B17">
        <v>391</v>
      </c>
      <c r="C17" t="s">
        <v>39</v>
      </c>
      <c r="D17" t="s">
        <v>26</v>
      </c>
      <c r="E17" s="13">
        <v>44287</v>
      </c>
      <c r="F17">
        <v>15</v>
      </c>
      <c r="G17">
        <v>390</v>
      </c>
      <c r="H17">
        <v>378</v>
      </c>
      <c r="I17">
        <v>0.3</v>
      </c>
      <c r="J17">
        <v>3.4000000000000004</v>
      </c>
      <c r="K17">
        <v>100.3</v>
      </c>
      <c r="L17">
        <v>103.4</v>
      </c>
      <c r="M17">
        <v>2.36</v>
      </c>
    </row>
    <row r="18" spans="1:13">
      <c r="A18" s="13">
        <v>44317</v>
      </c>
      <c r="B18">
        <v>394</v>
      </c>
      <c r="C18" t="s">
        <v>39</v>
      </c>
      <c r="D18" t="s">
        <v>26</v>
      </c>
      <c r="E18" s="13">
        <v>44317</v>
      </c>
      <c r="F18">
        <v>16</v>
      </c>
      <c r="G18">
        <v>391</v>
      </c>
      <c r="H18">
        <v>386</v>
      </c>
      <c r="I18">
        <v>0.8</v>
      </c>
      <c r="J18">
        <v>2.1</v>
      </c>
      <c r="K18">
        <v>100.8</v>
      </c>
      <c r="L18">
        <v>102.1</v>
      </c>
      <c r="M18">
        <v>3.1399999999999997</v>
      </c>
    </row>
    <row r="19" spans="1:13">
      <c r="A19" s="13">
        <v>44348</v>
      </c>
      <c r="B19">
        <v>394</v>
      </c>
      <c r="C19" t="s">
        <v>39</v>
      </c>
      <c r="D19" t="s">
        <v>26</v>
      </c>
      <c r="E19" s="13">
        <v>44348</v>
      </c>
      <c r="F19">
        <v>17</v>
      </c>
      <c r="G19">
        <v>394</v>
      </c>
      <c r="H19">
        <v>387</v>
      </c>
      <c r="I19">
        <v>0</v>
      </c>
      <c r="J19">
        <v>1.7999999999999998</v>
      </c>
      <c r="K19">
        <v>100</v>
      </c>
      <c r="L19">
        <v>101.8</v>
      </c>
      <c r="M19">
        <v>3.1399999999999997</v>
      </c>
    </row>
    <row r="20" spans="1:13">
      <c r="A20" s="13">
        <v>44378</v>
      </c>
      <c r="B20">
        <v>398</v>
      </c>
      <c r="C20" t="s">
        <v>39</v>
      </c>
      <c r="D20" t="s">
        <v>26</v>
      </c>
      <c r="E20" s="13">
        <v>44378</v>
      </c>
      <c r="F20">
        <v>18</v>
      </c>
      <c r="G20">
        <v>394</v>
      </c>
      <c r="H20">
        <v>385</v>
      </c>
      <c r="I20">
        <v>1</v>
      </c>
      <c r="J20">
        <v>3.4000000000000004</v>
      </c>
      <c r="K20">
        <v>101</v>
      </c>
      <c r="L20">
        <v>103.4</v>
      </c>
      <c r="M20">
        <v>4.1900000000000004</v>
      </c>
    </row>
    <row r="21" spans="1:13">
      <c r="A21" s="13">
        <v>44409</v>
      </c>
      <c r="B21">
        <v>398</v>
      </c>
      <c r="C21" t="s">
        <v>39</v>
      </c>
      <c r="D21" t="s">
        <v>26</v>
      </c>
      <c r="E21" s="13">
        <v>44409</v>
      </c>
      <c r="F21">
        <v>19</v>
      </c>
      <c r="G21">
        <v>398</v>
      </c>
      <c r="H21">
        <v>382</v>
      </c>
      <c r="I21">
        <v>0</v>
      </c>
      <c r="J21">
        <v>4.2</v>
      </c>
      <c r="K21">
        <v>100</v>
      </c>
      <c r="L21">
        <v>104.2</v>
      </c>
      <c r="M21">
        <v>4.1900000000000004</v>
      </c>
    </row>
    <row r="22" spans="1:13">
      <c r="A22" s="13">
        <v>44440</v>
      </c>
      <c r="B22">
        <v>398</v>
      </c>
      <c r="C22" t="s">
        <v>39</v>
      </c>
      <c r="D22" t="s">
        <v>26</v>
      </c>
      <c r="E22" s="13">
        <v>44440</v>
      </c>
      <c r="F22">
        <v>20</v>
      </c>
      <c r="G22">
        <v>398</v>
      </c>
      <c r="H22">
        <v>383</v>
      </c>
      <c r="I22">
        <v>0</v>
      </c>
      <c r="J22">
        <v>3.9</v>
      </c>
      <c r="K22">
        <v>100</v>
      </c>
      <c r="L22">
        <v>103.9</v>
      </c>
      <c r="M22">
        <v>4.1900000000000004</v>
      </c>
    </row>
    <row r="23" spans="1:13">
      <c r="A23" s="13">
        <v>44470</v>
      </c>
      <c r="B23">
        <v>396</v>
      </c>
      <c r="C23" t="s">
        <v>39</v>
      </c>
      <c r="D23" t="s">
        <v>26</v>
      </c>
      <c r="E23" s="13">
        <v>44470</v>
      </c>
      <c r="F23">
        <v>21</v>
      </c>
      <c r="G23">
        <v>398</v>
      </c>
      <c r="H23">
        <v>381</v>
      </c>
      <c r="I23">
        <v>-0.5</v>
      </c>
      <c r="J23">
        <v>3.9</v>
      </c>
      <c r="K23">
        <v>99.5</v>
      </c>
      <c r="L23">
        <v>103.9</v>
      </c>
      <c r="M23">
        <v>3.66</v>
      </c>
    </row>
    <row r="24" spans="1:13">
      <c r="A24" s="13">
        <v>44501</v>
      </c>
      <c r="B24">
        <v>394</v>
      </c>
      <c r="C24" t="s">
        <v>39</v>
      </c>
      <c r="D24" t="s">
        <v>26</v>
      </c>
      <c r="E24" s="13">
        <v>44501</v>
      </c>
      <c r="F24">
        <v>22</v>
      </c>
      <c r="G24">
        <v>396</v>
      </c>
      <c r="H24">
        <v>381</v>
      </c>
      <c r="I24">
        <v>-0.5</v>
      </c>
      <c r="J24">
        <v>3.4000000000000004</v>
      </c>
      <c r="K24">
        <v>99.5</v>
      </c>
      <c r="L24">
        <v>103.4</v>
      </c>
      <c r="M24">
        <v>3.1399999999999997</v>
      </c>
    </row>
    <row r="25" spans="1:13">
      <c r="A25" s="13">
        <v>44531</v>
      </c>
      <c r="B25">
        <v>394</v>
      </c>
      <c r="C25" t="s">
        <v>39</v>
      </c>
      <c r="D25" t="s">
        <v>26</v>
      </c>
      <c r="E25" s="13">
        <v>44531</v>
      </c>
      <c r="F25">
        <v>23</v>
      </c>
      <c r="G25">
        <v>394</v>
      </c>
      <c r="H25">
        <v>380</v>
      </c>
      <c r="I25">
        <v>0</v>
      </c>
      <c r="J25">
        <v>3.6999999999999997</v>
      </c>
      <c r="K25">
        <v>100</v>
      </c>
      <c r="L25">
        <v>103.7</v>
      </c>
      <c r="M25">
        <v>3.1399999999999997</v>
      </c>
    </row>
    <row r="26" spans="1:13">
      <c r="A26" s="13">
        <v>44562</v>
      </c>
      <c r="B26">
        <v>391</v>
      </c>
      <c r="C26" t="s">
        <v>39</v>
      </c>
      <c r="D26" t="s">
        <v>26</v>
      </c>
      <c r="E26" s="13">
        <v>44562</v>
      </c>
      <c r="F26">
        <v>24</v>
      </c>
      <c r="G26">
        <v>394</v>
      </c>
      <c r="H26">
        <v>382</v>
      </c>
      <c r="I26">
        <v>-0.8</v>
      </c>
      <c r="J26">
        <v>2.4</v>
      </c>
      <c r="K26">
        <v>99.2</v>
      </c>
      <c r="L26">
        <v>102.4</v>
      </c>
      <c r="M26">
        <v>0</v>
      </c>
    </row>
    <row r="27" spans="1:13">
      <c r="A27" s="13">
        <v>44593</v>
      </c>
      <c r="B27">
        <v>384</v>
      </c>
      <c r="C27" t="s">
        <v>39</v>
      </c>
      <c r="D27" t="s">
        <v>26</v>
      </c>
      <c r="E27" s="13">
        <v>44593</v>
      </c>
      <c r="F27">
        <v>25</v>
      </c>
      <c r="G27">
        <v>391</v>
      </c>
      <c r="H27">
        <v>385</v>
      </c>
      <c r="I27">
        <v>-1.7999999999999998</v>
      </c>
      <c r="J27">
        <v>-0.3</v>
      </c>
      <c r="K27">
        <v>98.2</v>
      </c>
      <c r="L27">
        <v>99.7</v>
      </c>
      <c r="M27">
        <v>-1.79</v>
      </c>
    </row>
    <row r="28" spans="1:13">
      <c r="A28" s="13">
        <v>44621</v>
      </c>
      <c r="B28">
        <v>381</v>
      </c>
      <c r="C28" t="s">
        <v>39</v>
      </c>
      <c r="D28" t="s">
        <v>26</v>
      </c>
      <c r="E28" s="13">
        <v>44621</v>
      </c>
      <c r="F28">
        <v>26</v>
      </c>
      <c r="G28">
        <v>384</v>
      </c>
      <c r="H28">
        <v>390</v>
      </c>
      <c r="I28">
        <v>-0.8</v>
      </c>
      <c r="J28">
        <v>-2.2999999999999998</v>
      </c>
      <c r="K28">
        <v>99.2</v>
      </c>
      <c r="L28">
        <v>97.7</v>
      </c>
      <c r="M28">
        <v>-2.56</v>
      </c>
    </row>
    <row r="29" spans="1:13">
      <c r="A29" s="13">
        <v>44652</v>
      </c>
      <c r="B29">
        <v>385</v>
      </c>
      <c r="C29" t="s">
        <v>39</v>
      </c>
      <c r="D29" t="s">
        <v>26</v>
      </c>
      <c r="E29" s="13">
        <v>44652</v>
      </c>
      <c r="F29">
        <v>27</v>
      </c>
      <c r="G29">
        <v>381</v>
      </c>
      <c r="H29">
        <v>391</v>
      </c>
      <c r="I29">
        <v>1</v>
      </c>
      <c r="J29">
        <v>-1.5</v>
      </c>
      <c r="K29">
        <v>101</v>
      </c>
      <c r="L29">
        <v>98.5</v>
      </c>
      <c r="M29">
        <v>-1.53</v>
      </c>
    </row>
    <row r="30" spans="1:13">
      <c r="A30" s="13">
        <v>44682</v>
      </c>
      <c r="B30">
        <v>386</v>
      </c>
      <c r="C30" t="s">
        <v>39</v>
      </c>
      <c r="D30" t="s">
        <v>26</v>
      </c>
      <c r="E30" s="13">
        <v>44682</v>
      </c>
      <c r="F30">
        <v>28</v>
      </c>
      <c r="G30">
        <v>385</v>
      </c>
      <c r="H30">
        <v>394</v>
      </c>
      <c r="I30">
        <v>0.3</v>
      </c>
      <c r="J30">
        <v>-2</v>
      </c>
      <c r="K30">
        <v>100.3</v>
      </c>
      <c r="L30">
        <v>98</v>
      </c>
      <c r="M30">
        <v>-1.28</v>
      </c>
    </row>
    <row r="31" spans="1:13">
      <c r="A31" s="13">
        <v>44713</v>
      </c>
      <c r="B31">
        <v>382</v>
      </c>
      <c r="C31" t="s">
        <v>39</v>
      </c>
      <c r="D31" t="s">
        <v>26</v>
      </c>
      <c r="E31" s="13">
        <v>44713</v>
      </c>
      <c r="F31">
        <v>29</v>
      </c>
      <c r="G31">
        <v>386</v>
      </c>
      <c r="H31">
        <v>394</v>
      </c>
      <c r="I31">
        <v>-1</v>
      </c>
      <c r="J31">
        <v>-3</v>
      </c>
      <c r="K31">
        <v>99</v>
      </c>
      <c r="L31">
        <v>97</v>
      </c>
      <c r="M31">
        <v>-2.2999999999999998</v>
      </c>
    </row>
    <row r="32" spans="1:13">
      <c r="A32" s="13">
        <v>44743</v>
      </c>
      <c r="B32">
        <v>376</v>
      </c>
      <c r="C32" t="s">
        <v>39</v>
      </c>
      <c r="D32" t="s">
        <v>26</v>
      </c>
      <c r="E32" s="13">
        <v>44743</v>
      </c>
      <c r="F32">
        <v>30</v>
      </c>
      <c r="G32">
        <v>382</v>
      </c>
      <c r="H32">
        <v>398</v>
      </c>
      <c r="I32">
        <v>-1.6</v>
      </c>
      <c r="J32">
        <v>-5.5</v>
      </c>
      <c r="K32">
        <v>98.4</v>
      </c>
      <c r="L32">
        <v>94.5</v>
      </c>
      <c r="M32">
        <v>-3.84</v>
      </c>
    </row>
    <row r="33" spans="1:13">
      <c r="A33" s="13">
        <v>44774</v>
      </c>
      <c r="B33">
        <v>368</v>
      </c>
      <c r="C33" t="s">
        <v>39</v>
      </c>
      <c r="D33" t="s">
        <v>26</v>
      </c>
      <c r="E33" s="13">
        <v>44774</v>
      </c>
      <c r="F33">
        <v>31</v>
      </c>
      <c r="G33">
        <v>376</v>
      </c>
      <c r="H33">
        <v>398</v>
      </c>
      <c r="I33">
        <v>-2.1</v>
      </c>
      <c r="J33">
        <v>-7.5</v>
      </c>
      <c r="K33">
        <v>97.9</v>
      </c>
      <c r="L33">
        <v>92.5</v>
      </c>
      <c r="M33">
        <v>-5.88</v>
      </c>
    </row>
    <row r="34" spans="1:13">
      <c r="A34" s="13">
        <v>44805</v>
      </c>
      <c r="B34">
        <v>360</v>
      </c>
      <c r="C34" t="s">
        <v>39</v>
      </c>
      <c r="D34" t="s">
        <v>26</v>
      </c>
      <c r="E34" s="13">
        <v>44805</v>
      </c>
      <c r="F34">
        <v>32</v>
      </c>
      <c r="G34">
        <v>368</v>
      </c>
      <c r="H34">
        <v>398</v>
      </c>
      <c r="I34">
        <v>-2.1999999999999997</v>
      </c>
      <c r="J34">
        <v>-9.5</v>
      </c>
      <c r="K34">
        <v>97.8</v>
      </c>
      <c r="L34">
        <v>90.5</v>
      </c>
      <c r="M34">
        <v>-7.93</v>
      </c>
    </row>
    <row r="35" spans="1:13">
      <c r="A35" s="13">
        <v>44835</v>
      </c>
      <c r="B35">
        <v>350</v>
      </c>
      <c r="C35" t="s">
        <v>39</v>
      </c>
      <c r="D35" t="s">
        <v>26</v>
      </c>
      <c r="E35" s="13">
        <v>44835</v>
      </c>
      <c r="F35">
        <v>33</v>
      </c>
      <c r="G35">
        <v>360</v>
      </c>
      <c r="H35">
        <v>396</v>
      </c>
      <c r="I35">
        <v>-2.8000000000000003</v>
      </c>
      <c r="J35">
        <v>-11.600000000000001</v>
      </c>
      <c r="K35">
        <v>97.2</v>
      </c>
      <c r="L35">
        <v>88.4</v>
      </c>
      <c r="M35">
        <v>-10.489999999999998</v>
      </c>
    </row>
    <row r="36" spans="1:13">
      <c r="A36" s="13">
        <v>44866</v>
      </c>
      <c r="B36">
        <v>338</v>
      </c>
      <c r="C36" t="s">
        <v>39</v>
      </c>
      <c r="D36" t="s">
        <v>26</v>
      </c>
      <c r="E36" s="13">
        <v>44866</v>
      </c>
      <c r="F36">
        <v>34</v>
      </c>
      <c r="G36">
        <v>350</v>
      </c>
      <c r="H36">
        <v>394</v>
      </c>
      <c r="I36">
        <v>-3.4000000000000004</v>
      </c>
      <c r="J36">
        <v>-14.2</v>
      </c>
      <c r="K36">
        <v>96.6</v>
      </c>
      <c r="L36">
        <v>85.8</v>
      </c>
      <c r="M36">
        <v>-13.55</v>
      </c>
    </row>
    <row r="37" spans="1:13">
      <c r="A37" s="13">
        <v>44896</v>
      </c>
      <c r="B37">
        <v>335</v>
      </c>
      <c r="C37" t="s">
        <v>39</v>
      </c>
      <c r="D37" t="s">
        <v>26</v>
      </c>
      <c r="E37" s="13">
        <v>44896</v>
      </c>
      <c r="F37">
        <v>35</v>
      </c>
      <c r="G37">
        <v>338</v>
      </c>
      <c r="H37">
        <v>394</v>
      </c>
      <c r="I37">
        <v>-0.89999999999999991</v>
      </c>
      <c r="J37">
        <v>-15</v>
      </c>
      <c r="K37">
        <v>99.1</v>
      </c>
      <c r="L37">
        <v>85</v>
      </c>
      <c r="M37">
        <v>-14.32</v>
      </c>
    </row>
    <row r="38" spans="1:13">
      <c r="A38" s="13">
        <v>44927</v>
      </c>
      <c r="B38">
        <v>338</v>
      </c>
      <c r="C38" t="s">
        <v>39</v>
      </c>
      <c r="D38" t="s">
        <v>26</v>
      </c>
      <c r="E38" s="13">
        <v>44927</v>
      </c>
      <c r="F38">
        <v>36</v>
      </c>
      <c r="G38">
        <v>335</v>
      </c>
      <c r="H38">
        <v>391</v>
      </c>
      <c r="I38">
        <v>0.89999999999999991</v>
      </c>
      <c r="J38">
        <v>-13.600000000000001</v>
      </c>
      <c r="K38">
        <v>100.9</v>
      </c>
      <c r="L38">
        <v>86.4</v>
      </c>
      <c r="M38">
        <v>0</v>
      </c>
    </row>
    <row r="39" spans="1:13">
      <c r="A39" s="13">
        <v>44958</v>
      </c>
      <c r="B39">
        <v>347</v>
      </c>
      <c r="C39" t="s">
        <v>39</v>
      </c>
      <c r="D39" t="s">
        <v>26</v>
      </c>
      <c r="E39" s="13">
        <v>44958</v>
      </c>
      <c r="F39">
        <v>37</v>
      </c>
      <c r="G39">
        <v>338</v>
      </c>
      <c r="H39">
        <v>384</v>
      </c>
      <c r="I39">
        <v>2.7</v>
      </c>
      <c r="J39">
        <v>-9.6</v>
      </c>
      <c r="K39">
        <v>102.7</v>
      </c>
      <c r="L39">
        <v>90.4</v>
      </c>
      <c r="M39">
        <v>2.6599999999999997</v>
      </c>
    </row>
    <row r="40" spans="1:13">
      <c r="A40" s="13">
        <v>44986</v>
      </c>
      <c r="B40">
        <v>352</v>
      </c>
      <c r="C40" t="s">
        <v>39</v>
      </c>
      <c r="D40" t="s">
        <v>26</v>
      </c>
      <c r="E40" s="13">
        <v>44986</v>
      </c>
      <c r="F40">
        <v>38</v>
      </c>
      <c r="G40">
        <v>347</v>
      </c>
      <c r="H40">
        <v>381</v>
      </c>
      <c r="I40">
        <v>1.4000000000000001</v>
      </c>
      <c r="J40">
        <v>-7.6</v>
      </c>
      <c r="K40">
        <v>101.4</v>
      </c>
      <c r="L40">
        <v>92.4</v>
      </c>
      <c r="M40">
        <v>4.1399999999999997</v>
      </c>
    </row>
    <row r="41" spans="1:13">
      <c r="A41" s="13">
        <v>45017</v>
      </c>
      <c r="B41">
        <v>354</v>
      </c>
      <c r="C41" t="s">
        <v>39</v>
      </c>
      <c r="D41" t="s">
        <v>26</v>
      </c>
      <c r="E41" s="13">
        <v>45017</v>
      </c>
      <c r="F41">
        <v>39</v>
      </c>
      <c r="G41">
        <v>352</v>
      </c>
      <c r="H41">
        <v>385</v>
      </c>
      <c r="I41">
        <v>0.6</v>
      </c>
      <c r="J41">
        <v>-8.1</v>
      </c>
      <c r="K41">
        <v>100.6</v>
      </c>
      <c r="L41">
        <v>91.9</v>
      </c>
      <c r="M41">
        <v>4.7300000000000004</v>
      </c>
    </row>
    <row r="42" spans="1:13">
      <c r="A42" s="13">
        <v>45047</v>
      </c>
      <c r="B42">
        <v>350</v>
      </c>
      <c r="C42" t="s">
        <v>39</v>
      </c>
      <c r="D42" t="s">
        <v>26</v>
      </c>
      <c r="E42" s="13">
        <v>45047</v>
      </c>
      <c r="F42">
        <v>40</v>
      </c>
      <c r="G42">
        <v>354</v>
      </c>
      <c r="H42">
        <v>386</v>
      </c>
      <c r="I42">
        <v>-1.0999999999999999</v>
      </c>
      <c r="J42">
        <v>-9.3000000000000007</v>
      </c>
      <c r="K42">
        <v>98.9</v>
      </c>
      <c r="L42">
        <v>90.7</v>
      </c>
      <c r="M42">
        <v>3.55</v>
      </c>
    </row>
    <row r="43" spans="1:13">
      <c r="A43" s="13">
        <v>45078</v>
      </c>
      <c r="B43">
        <v>347</v>
      </c>
      <c r="C43" t="s">
        <v>39</v>
      </c>
      <c r="D43" t="s">
        <v>26</v>
      </c>
      <c r="E43" s="13">
        <v>45078</v>
      </c>
      <c r="F43">
        <v>41</v>
      </c>
      <c r="G43">
        <v>350</v>
      </c>
      <c r="H43">
        <v>382</v>
      </c>
      <c r="I43">
        <v>-0.89999999999999991</v>
      </c>
      <c r="J43">
        <v>-9.1999999999999993</v>
      </c>
      <c r="K43">
        <v>99.1</v>
      </c>
      <c r="L43">
        <v>90.8</v>
      </c>
      <c r="M43">
        <v>2.6599999999999997</v>
      </c>
    </row>
    <row r="44" spans="1:13">
      <c r="A44" s="13">
        <v>45108</v>
      </c>
      <c r="B44">
        <v>344</v>
      </c>
      <c r="C44" t="s">
        <v>39</v>
      </c>
      <c r="D44" t="s">
        <v>26</v>
      </c>
      <c r="E44" s="13">
        <v>45108</v>
      </c>
      <c r="F44">
        <v>42</v>
      </c>
      <c r="G44">
        <v>347</v>
      </c>
      <c r="H44">
        <v>376</v>
      </c>
      <c r="I44">
        <v>-0.89999999999999991</v>
      </c>
      <c r="J44">
        <v>-8.5</v>
      </c>
      <c r="K44">
        <v>99.1</v>
      </c>
      <c r="L44">
        <v>91.5</v>
      </c>
      <c r="M44">
        <v>1.78</v>
      </c>
    </row>
    <row r="45" spans="1:13">
      <c r="A45" s="13">
        <v>45139</v>
      </c>
      <c r="B45">
        <v>337</v>
      </c>
      <c r="C45" t="s">
        <v>39</v>
      </c>
      <c r="D45" t="s">
        <v>26</v>
      </c>
      <c r="E45" s="13">
        <v>45139</v>
      </c>
      <c r="F45">
        <v>43</v>
      </c>
      <c r="G45">
        <v>344</v>
      </c>
      <c r="H45">
        <v>368</v>
      </c>
      <c r="I45">
        <v>-2</v>
      </c>
      <c r="J45">
        <v>-8.4</v>
      </c>
      <c r="K45">
        <v>98</v>
      </c>
      <c r="L45">
        <v>91.6</v>
      </c>
      <c r="M45">
        <v>-0.3</v>
      </c>
    </row>
    <row r="46" spans="1:13">
      <c r="A46" s="13">
        <v>45170</v>
      </c>
      <c r="B46">
        <v>329</v>
      </c>
      <c r="C46" t="s">
        <v>39</v>
      </c>
      <c r="D46" t="s">
        <v>26</v>
      </c>
      <c r="E46" s="13">
        <v>45170</v>
      </c>
      <c r="F46">
        <v>44</v>
      </c>
      <c r="G46">
        <v>337</v>
      </c>
      <c r="H46">
        <v>360</v>
      </c>
      <c r="I46">
        <v>-2.4</v>
      </c>
      <c r="J46">
        <v>-8.6</v>
      </c>
      <c r="K46">
        <v>97.6</v>
      </c>
      <c r="L46">
        <v>91.4</v>
      </c>
      <c r="M46">
        <v>-2.6599999999999997</v>
      </c>
    </row>
    <row r="47" spans="1:13">
      <c r="A47" s="13">
        <v>45200</v>
      </c>
      <c r="B47">
        <v>322</v>
      </c>
      <c r="C47" t="s">
        <v>39</v>
      </c>
      <c r="D47" t="s">
        <v>26</v>
      </c>
      <c r="E47" s="13">
        <v>45200</v>
      </c>
      <c r="F47">
        <v>45</v>
      </c>
      <c r="G47">
        <v>329</v>
      </c>
      <c r="H47">
        <v>350</v>
      </c>
      <c r="I47">
        <v>-2.1</v>
      </c>
      <c r="J47">
        <v>-8</v>
      </c>
      <c r="K47">
        <v>97.9</v>
      </c>
      <c r="L47">
        <v>92</v>
      </c>
      <c r="M47">
        <v>-4.7300000000000004</v>
      </c>
    </row>
    <row r="48" spans="1:13">
      <c r="A48" s="13">
        <v>45231</v>
      </c>
      <c r="B48">
        <v>316</v>
      </c>
      <c r="C48" t="s">
        <v>39</v>
      </c>
      <c r="D48" t="s">
        <v>26</v>
      </c>
      <c r="E48" s="13">
        <v>45231</v>
      </c>
      <c r="F48">
        <v>46</v>
      </c>
      <c r="G48">
        <v>322</v>
      </c>
      <c r="H48">
        <v>338</v>
      </c>
      <c r="I48">
        <v>-1.9</v>
      </c>
      <c r="J48">
        <v>-6.5</v>
      </c>
      <c r="K48">
        <v>98.1</v>
      </c>
      <c r="L48">
        <v>93.5</v>
      </c>
      <c r="M48">
        <v>-6.5100000000000007</v>
      </c>
    </row>
    <row r="49" spans="1:13">
      <c r="A49" s="13">
        <v>45261</v>
      </c>
      <c r="B49">
        <v>311</v>
      </c>
      <c r="C49" t="s">
        <v>39</v>
      </c>
      <c r="D49" t="s">
        <v>26</v>
      </c>
      <c r="E49" s="13">
        <v>45261</v>
      </c>
      <c r="F49">
        <v>47</v>
      </c>
      <c r="G49">
        <v>316</v>
      </c>
      <c r="H49">
        <v>335</v>
      </c>
      <c r="I49">
        <v>-1.6</v>
      </c>
      <c r="J49">
        <v>-7.1999999999999993</v>
      </c>
      <c r="K49">
        <v>98.4</v>
      </c>
      <c r="L49">
        <v>92.8</v>
      </c>
      <c r="M49">
        <v>-7.99</v>
      </c>
    </row>
    <row r="50" spans="1:13">
      <c r="A50" s="13">
        <v>45292</v>
      </c>
      <c r="B50">
        <v>307</v>
      </c>
      <c r="C50" t="s">
        <v>39</v>
      </c>
      <c r="D50" t="s">
        <v>26</v>
      </c>
      <c r="E50" s="13">
        <v>45292</v>
      </c>
      <c r="F50">
        <v>48</v>
      </c>
      <c r="G50">
        <v>311</v>
      </c>
      <c r="H50">
        <v>338</v>
      </c>
      <c r="I50">
        <v>-1.3</v>
      </c>
      <c r="J50">
        <v>-9.1999999999999993</v>
      </c>
      <c r="K50">
        <v>98.7</v>
      </c>
      <c r="L50">
        <v>90.8</v>
      </c>
      <c r="M50">
        <v>0</v>
      </c>
    </row>
    <row r="51" spans="1:13">
      <c r="A51" s="13">
        <v>45323</v>
      </c>
      <c r="B51">
        <v>302</v>
      </c>
      <c r="C51" t="s">
        <v>39</v>
      </c>
      <c r="D51" t="s">
        <v>26</v>
      </c>
      <c r="E51" s="13">
        <v>45323</v>
      </c>
      <c r="F51">
        <v>49</v>
      </c>
      <c r="G51">
        <v>307</v>
      </c>
      <c r="H51">
        <v>347</v>
      </c>
      <c r="I51">
        <v>-1.6</v>
      </c>
      <c r="J51">
        <v>-13</v>
      </c>
      <c r="K51">
        <v>98.4</v>
      </c>
      <c r="L51">
        <v>87</v>
      </c>
      <c r="M51">
        <v>-1.63</v>
      </c>
    </row>
    <row r="52" spans="1:13">
      <c r="A52" s="13">
        <v>45352</v>
      </c>
      <c r="B52">
        <v>308</v>
      </c>
      <c r="C52" t="s">
        <v>39</v>
      </c>
      <c r="D52" t="s">
        <v>26</v>
      </c>
      <c r="E52" s="13">
        <v>45352</v>
      </c>
      <c r="F52">
        <v>50</v>
      </c>
      <c r="G52">
        <v>302</v>
      </c>
      <c r="H52">
        <v>352</v>
      </c>
      <c r="I52">
        <v>2</v>
      </c>
      <c r="J52">
        <v>-12.5</v>
      </c>
      <c r="K52">
        <v>102</v>
      </c>
      <c r="L52">
        <v>87.5</v>
      </c>
      <c r="M52">
        <v>0.33</v>
      </c>
    </row>
    <row r="53" spans="1:13">
      <c r="A53" s="13">
        <v>45383</v>
      </c>
      <c r="B53">
        <v>310</v>
      </c>
      <c r="C53" t="s">
        <v>39</v>
      </c>
      <c r="D53" t="s">
        <v>26</v>
      </c>
      <c r="E53" s="13">
        <v>45383</v>
      </c>
      <c r="F53">
        <v>51</v>
      </c>
      <c r="G53">
        <v>308</v>
      </c>
      <c r="H53">
        <v>354</v>
      </c>
      <c r="I53">
        <v>0.6</v>
      </c>
      <c r="J53">
        <v>-12.4</v>
      </c>
      <c r="K53">
        <v>100.6</v>
      </c>
      <c r="L53">
        <v>87.6</v>
      </c>
      <c r="M53">
        <v>0.98</v>
      </c>
    </row>
    <row r="54" spans="1:13">
      <c r="A54" s="13">
        <v>45413</v>
      </c>
      <c r="B54">
        <v>306</v>
      </c>
      <c r="C54" t="s">
        <v>39</v>
      </c>
      <c r="D54" t="s">
        <v>26</v>
      </c>
      <c r="E54" s="13">
        <v>45413</v>
      </c>
      <c r="F54">
        <v>52</v>
      </c>
      <c r="G54">
        <v>310</v>
      </c>
      <c r="H54">
        <v>350</v>
      </c>
      <c r="I54">
        <v>-1.3</v>
      </c>
      <c r="J54">
        <v>-12.6</v>
      </c>
      <c r="K54">
        <v>98.7</v>
      </c>
      <c r="L54">
        <v>87.4</v>
      </c>
      <c r="M54">
        <v>-0.33</v>
      </c>
    </row>
    <row r="55" spans="1:13">
      <c r="A55" s="13">
        <v>45444</v>
      </c>
      <c r="B55">
        <v>302</v>
      </c>
      <c r="C55" t="s">
        <v>39</v>
      </c>
      <c r="D55" t="s">
        <v>26</v>
      </c>
      <c r="E55" s="13">
        <v>45444</v>
      </c>
      <c r="F55">
        <v>53</v>
      </c>
      <c r="G55">
        <v>306</v>
      </c>
      <c r="H55">
        <v>347</v>
      </c>
      <c r="I55">
        <v>-1.3</v>
      </c>
      <c r="J55">
        <v>-13</v>
      </c>
      <c r="K55">
        <v>98.7</v>
      </c>
      <c r="L55">
        <v>87</v>
      </c>
      <c r="M55">
        <v>-1.63</v>
      </c>
    </row>
    <row r="56" spans="1:13">
      <c r="A56" s="13">
        <v>45474</v>
      </c>
      <c r="B56">
        <v>298</v>
      </c>
      <c r="C56" t="s">
        <v>39</v>
      </c>
      <c r="D56" t="s">
        <v>26</v>
      </c>
      <c r="E56" s="13">
        <v>45474</v>
      </c>
      <c r="F56">
        <v>54</v>
      </c>
      <c r="G56">
        <v>302</v>
      </c>
      <c r="H56">
        <v>344</v>
      </c>
      <c r="I56">
        <v>-1.3</v>
      </c>
      <c r="J56">
        <v>-13.4</v>
      </c>
      <c r="K56">
        <v>98.7</v>
      </c>
      <c r="L56">
        <v>86.6</v>
      </c>
      <c r="M56">
        <v>-2.93</v>
      </c>
    </row>
    <row r="57" spans="1:13">
      <c r="A57" s="13">
        <v>45505</v>
      </c>
      <c r="B57">
        <v>292</v>
      </c>
      <c r="C57" t="s">
        <v>39</v>
      </c>
      <c r="D57" t="s">
        <v>26</v>
      </c>
      <c r="E57" s="13">
        <v>45505</v>
      </c>
      <c r="F57">
        <v>55</v>
      </c>
      <c r="G57">
        <v>298</v>
      </c>
      <c r="H57">
        <v>337</v>
      </c>
      <c r="I57">
        <v>-2</v>
      </c>
      <c r="J57">
        <v>-13.4</v>
      </c>
      <c r="K57">
        <v>98</v>
      </c>
      <c r="L57">
        <v>86.6</v>
      </c>
      <c r="M57">
        <v>-4.8899999999999997</v>
      </c>
    </row>
    <row r="58" spans="1:13">
      <c r="A58" s="13">
        <v>45536</v>
      </c>
      <c r="B58">
        <v>288</v>
      </c>
      <c r="C58" t="s">
        <v>39</v>
      </c>
      <c r="D58" t="s">
        <v>26</v>
      </c>
      <c r="E58" s="13">
        <v>45536</v>
      </c>
      <c r="F58">
        <v>56</v>
      </c>
      <c r="G58">
        <v>292</v>
      </c>
      <c r="H58">
        <v>329</v>
      </c>
      <c r="I58">
        <v>-1.4000000000000001</v>
      </c>
      <c r="J58">
        <v>-12.5</v>
      </c>
      <c r="K58">
        <v>98.6</v>
      </c>
      <c r="L58">
        <v>87.5</v>
      </c>
      <c r="M58">
        <v>-6.1899999999999995</v>
      </c>
    </row>
    <row r="59" spans="1:13">
      <c r="A59" s="13">
        <v>45566</v>
      </c>
      <c r="B59">
        <v>291</v>
      </c>
      <c r="C59" t="s">
        <v>39</v>
      </c>
      <c r="D59" t="s">
        <v>26</v>
      </c>
      <c r="E59" s="13">
        <v>45566</v>
      </c>
      <c r="F59">
        <v>57</v>
      </c>
      <c r="G59">
        <v>288</v>
      </c>
      <c r="H59">
        <v>322</v>
      </c>
      <c r="I59">
        <v>1</v>
      </c>
      <c r="J59">
        <v>-9.6</v>
      </c>
      <c r="K59">
        <v>101</v>
      </c>
      <c r="L59">
        <v>90.4</v>
      </c>
      <c r="M59">
        <v>-5.21</v>
      </c>
    </row>
    <row r="60" spans="1:13">
      <c r="A60" s="13">
        <v>45597</v>
      </c>
      <c r="B60">
        <v>292</v>
      </c>
      <c r="C60" t="s">
        <v>39</v>
      </c>
      <c r="D60" t="s">
        <v>26</v>
      </c>
      <c r="E60" s="13">
        <v>45597</v>
      </c>
      <c r="F60">
        <v>58</v>
      </c>
      <c r="G60">
        <v>291</v>
      </c>
      <c r="H60">
        <v>316</v>
      </c>
      <c r="I60">
        <v>0.3</v>
      </c>
      <c r="J60">
        <v>-7.6</v>
      </c>
      <c r="K60">
        <v>100.3</v>
      </c>
      <c r="L60">
        <v>92.4</v>
      </c>
      <c r="M60">
        <v>-4.8899999999999997</v>
      </c>
    </row>
    <row r="61" spans="1:13">
      <c r="A61" s="13">
        <v>45627</v>
      </c>
      <c r="B61">
        <v>289</v>
      </c>
      <c r="C61" t="s">
        <v>39</v>
      </c>
      <c r="D61" t="s">
        <v>26</v>
      </c>
      <c r="E61" s="13">
        <v>45627</v>
      </c>
      <c r="F61">
        <v>59</v>
      </c>
      <c r="G61">
        <v>292</v>
      </c>
      <c r="H61">
        <v>311</v>
      </c>
      <c r="I61">
        <v>-1</v>
      </c>
      <c r="J61">
        <v>-7.1</v>
      </c>
      <c r="K61">
        <v>99</v>
      </c>
      <c r="L61">
        <v>92.9</v>
      </c>
      <c r="M61">
        <v>-5.86</v>
      </c>
    </row>
    <row r="62" spans="1:13">
      <c r="A62" s="13">
        <v>45658</v>
      </c>
      <c r="B62">
        <v>287</v>
      </c>
      <c r="C62" t="s">
        <v>39</v>
      </c>
      <c r="D62" t="s">
        <v>26</v>
      </c>
      <c r="E62" s="13">
        <v>45658</v>
      </c>
      <c r="F62">
        <v>60</v>
      </c>
      <c r="G62">
        <v>289</v>
      </c>
      <c r="H62">
        <v>307</v>
      </c>
      <c r="I62">
        <v>-0.70000000000000007</v>
      </c>
      <c r="J62">
        <v>-6.5</v>
      </c>
      <c r="K62">
        <v>99.3</v>
      </c>
      <c r="L62">
        <v>93.5</v>
      </c>
      <c r="M62">
        <v>0</v>
      </c>
    </row>
    <row r="63" spans="1:13">
      <c r="A63" s="13">
        <v>45689</v>
      </c>
      <c r="B63">
        <v>286</v>
      </c>
      <c r="C63" t="s">
        <v>39</v>
      </c>
      <c r="D63" t="s">
        <v>26</v>
      </c>
      <c r="E63" s="13">
        <v>45689</v>
      </c>
      <c r="F63">
        <v>61</v>
      </c>
      <c r="G63">
        <v>287</v>
      </c>
      <c r="H63">
        <v>302</v>
      </c>
      <c r="I63">
        <v>-0.3</v>
      </c>
      <c r="J63">
        <v>-5.3</v>
      </c>
      <c r="K63">
        <v>99.7</v>
      </c>
      <c r="L63">
        <v>94.7</v>
      </c>
      <c r="M63">
        <v>-0.35000000000000003</v>
      </c>
    </row>
    <row r="64" spans="1:13">
      <c r="A64" s="13">
        <v>45717</v>
      </c>
      <c r="B64">
        <v>285</v>
      </c>
      <c r="C64" t="s">
        <v>39</v>
      </c>
      <c r="D64" t="s">
        <v>26</v>
      </c>
      <c r="E64" s="13">
        <v>45717</v>
      </c>
      <c r="F64">
        <v>62</v>
      </c>
      <c r="G64">
        <v>286</v>
      </c>
      <c r="H64">
        <v>308</v>
      </c>
      <c r="I64">
        <v>-0.3</v>
      </c>
      <c r="J64">
        <v>-7.5</v>
      </c>
      <c r="K64">
        <v>99.7</v>
      </c>
      <c r="L64">
        <v>92.5</v>
      </c>
      <c r="M64">
        <v>-0.70000000000000007</v>
      </c>
    </row>
    <row r="65" spans="1:13">
      <c r="A65" s="13">
        <v>45748</v>
      </c>
      <c r="B65">
        <v>286</v>
      </c>
      <c r="C65" t="s">
        <v>39</v>
      </c>
      <c r="D65" t="s">
        <v>26</v>
      </c>
      <c r="E65" s="13">
        <v>45748</v>
      </c>
      <c r="F65">
        <v>63</v>
      </c>
      <c r="G65">
        <v>285</v>
      </c>
      <c r="H65">
        <v>310</v>
      </c>
      <c r="I65">
        <v>0.4</v>
      </c>
      <c r="J65">
        <v>-7.7</v>
      </c>
      <c r="K65">
        <v>100.4</v>
      </c>
      <c r="L65">
        <v>92.3</v>
      </c>
      <c r="M65">
        <v>-0.35000000000000003</v>
      </c>
    </row>
    <row r="66" spans="1:13">
      <c r="A66" s="13">
        <v>45778</v>
      </c>
      <c r="B66">
        <v>286</v>
      </c>
      <c r="C66" t="s">
        <v>39</v>
      </c>
      <c r="D66" t="s">
        <v>26</v>
      </c>
      <c r="E66" s="13">
        <v>45778</v>
      </c>
      <c r="F66">
        <v>64</v>
      </c>
      <c r="G66">
        <v>286</v>
      </c>
      <c r="H66">
        <v>306</v>
      </c>
      <c r="I66">
        <v>0</v>
      </c>
      <c r="J66">
        <v>-6.5</v>
      </c>
      <c r="K66">
        <v>100</v>
      </c>
      <c r="L66">
        <v>93.5</v>
      </c>
      <c r="M66">
        <v>-0.35000000000000003</v>
      </c>
    </row>
    <row r="67" spans="1:13">
      <c r="A67" s="13">
        <v>45809</v>
      </c>
      <c r="B67">
        <v>287</v>
      </c>
      <c r="C67" t="s">
        <v>39</v>
      </c>
      <c r="D67" t="s">
        <v>26</v>
      </c>
      <c r="E67" s="13">
        <v>45809</v>
      </c>
      <c r="F67">
        <v>65</v>
      </c>
      <c r="G67">
        <v>286</v>
      </c>
      <c r="H67">
        <v>302</v>
      </c>
      <c r="I67">
        <v>0.3</v>
      </c>
      <c r="J67">
        <v>-5</v>
      </c>
      <c r="K67">
        <v>100.3</v>
      </c>
      <c r="L67">
        <v>95</v>
      </c>
      <c r="M67">
        <v>0</v>
      </c>
    </row>
    <row r="68" spans="1:13">
      <c r="A68" s="13">
        <v>45839</v>
      </c>
      <c r="B68">
        <v>288</v>
      </c>
      <c r="C68" t="s">
        <v>39</v>
      </c>
      <c r="D68" t="s">
        <v>26</v>
      </c>
      <c r="E68" s="13">
        <v>45839</v>
      </c>
      <c r="F68">
        <v>66</v>
      </c>
      <c r="G68">
        <v>287</v>
      </c>
      <c r="H68">
        <v>298</v>
      </c>
      <c r="I68">
        <v>0.3</v>
      </c>
      <c r="J68">
        <v>-3.4000000000000004</v>
      </c>
      <c r="K68">
        <v>100.3</v>
      </c>
      <c r="L68">
        <v>96.6</v>
      </c>
      <c r="M68">
        <v>0.35000000000000003</v>
      </c>
    </row>
    <row r="69" spans="1:13">
      <c r="A69" s="13">
        <v>45870</v>
      </c>
      <c r="B69">
        <v>288</v>
      </c>
      <c r="C69" t="s">
        <v>39</v>
      </c>
      <c r="D69" t="s">
        <v>26</v>
      </c>
      <c r="E69" s="13">
        <v>45870</v>
      </c>
      <c r="F69">
        <v>67</v>
      </c>
      <c r="G69">
        <v>288</v>
      </c>
      <c r="H69">
        <v>292</v>
      </c>
      <c r="I69">
        <v>0</v>
      </c>
      <c r="J69">
        <v>-1.4000000000000001</v>
      </c>
      <c r="K69">
        <v>100</v>
      </c>
      <c r="L69">
        <v>98.6</v>
      </c>
      <c r="M69">
        <v>0.35000000000000003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FFF24-D6EE-8F4D-AB5E-F4F62FCFEC7D}">
  <dimension ref="A1:M68"/>
  <sheetViews>
    <sheetView topLeftCell="A37" workbookViewId="0">
      <selection activeCell="L38" sqref="L38"/>
    </sheetView>
  </sheetViews>
  <sheetFormatPr baseColWidth="10" defaultRowHeight="28"/>
  <cols>
    <col min="1" max="1" width="9.5" bestFit="1" customWidth="1"/>
    <col min="2" max="2" width="7.08203125" bestFit="1" customWidth="1"/>
    <col min="3" max="3" width="8.33203125" bestFit="1" customWidth="1"/>
    <col min="4" max="4" width="14.33203125" hidden="1" customWidth="1"/>
    <col min="5" max="5" width="28.6640625" hidden="1" customWidth="1"/>
    <col min="6" max="6" width="6.08203125" hidden="1" customWidth="1"/>
    <col min="7" max="7" width="17.5" hidden="1" customWidth="1"/>
    <col min="8" max="8" width="15.5" hidden="1" customWidth="1"/>
    <col min="9" max="9" width="6.83203125" bestFit="1" customWidth="1"/>
    <col min="10" max="10" width="5.6640625" bestFit="1" customWidth="1"/>
    <col min="11" max="11" width="10.4140625" bestFit="1" customWidth="1"/>
    <col min="12" max="12" width="14.1640625" bestFit="1" customWidth="1"/>
    <col min="13" max="13" width="7.9140625" bestFit="1" customWidth="1"/>
  </cols>
  <sheetData>
    <row r="1" spans="1:13">
      <c r="A1" t="s">
        <v>18</v>
      </c>
      <c r="B1" t="s">
        <v>20</v>
      </c>
      <c r="C1" t="s">
        <v>24</v>
      </c>
      <c r="D1" t="s">
        <v>22</v>
      </c>
      <c r="E1" t="s">
        <v>30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1</v>
      </c>
      <c r="L1" t="s">
        <v>2</v>
      </c>
      <c r="M1" t="s">
        <v>38</v>
      </c>
    </row>
    <row r="2" spans="1:13">
      <c r="A2" s="13">
        <v>43831</v>
      </c>
      <c r="B2">
        <v>212</v>
      </c>
      <c r="C2" t="s">
        <v>40</v>
      </c>
      <c r="D2" t="s">
        <v>26</v>
      </c>
      <c r="E2" s="13">
        <v>43831</v>
      </c>
      <c r="F2">
        <v>0</v>
      </c>
      <c r="M2">
        <v>0</v>
      </c>
    </row>
    <row r="3" spans="1:13">
      <c r="A3" s="13">
        <v>43862</v>
      </c>
      <c r="B3">
        <v>213</v>
      </c>
      <c r="C3" t="s">
        <v>40</v>
      </c>
      <c r="D3" t="s">
        <v>26</v>
      </c>
      <c r="E3" s="13">
        <v>43862</v>
      </c>
      <c r="F3">
        <v>1</v>
      </c>
      <c r="G3">
        <v>212</v>
      </c>
      <c r="I3">
        <v>0.5</v>
      </c>
      <c r="K3">
        <v>100.5</v>
      </c>
      <c r="M3">
        <v>0.47000000000000003</v>
      </c>
    </row>
    <row r="4" spans="1:13">
      <c r="A4" s="13">
        <v>43891</v>
      </c>
      <c r="B4">
        <v>215</v>
      </c>
      <c r="C4" t="s">
        <v>40</v>
      </c>
      <c r="D4" t="s">
        <v>26</v>
      </c>
      <c r="E4" s="13">
        <v>43891</v>
      </c>
      <c r="F4">
        <v>2</v>
      </c>
      <c r="G4">
        <v>213</v>
      </c>
      <c r="I4">
        <v>0.89999999999999991</v>
      </c>
      <c r="K4">
        <v>100.9</v>
      </c>
      <c r="M4">
        <v>1.4200000000000002</v>
      </c>
    </row>
    <row r="5" spans="1:13">
      <c r="A5" s="13">
        <v>43922</v>
      </c>
      <c r="B5">
        <v>217</v>
      </c>
      <c r="C5" t="s">
        <v>40</v>
      </c>
      <c r="D5" t="s">
        <v>26</v>
      </c>
      <c r="E5" s="13">
        <v>43922</v>
      </c>
      <c r="F5">
        <v>3</v>
      </c>
      <c r="G5">
        <v>215</v>
      </c>
      <c r="I5">
        <v>0.89999999999999991</v>
      </c>
      <c r="K5">
        <v>100.9</v>
      </c>
      <c r="M5">
        <v>2.36</v>
      </c>
    </row>
    <row r="6" spans="1:13">
      <c r="A6" s="13">
        <v>43952</v>
      </c>
      <c r="B6">
        <v>218</v>
      </c>
      <c r="C6" t="s">
        <v>40</v>
      </c>
      <c r="D6" t="s">
        <v>26</v>
      </c>
      <c r="E6" s="13">
        <v>43952</v>
      </c>
      <c r="F6">
        <v>4</v>
      </c>
      <c r="G6">
        <v>217</v>
      </c>
      <c r="I6">
        <v>0.5</v>
      </c>
      <c r="K6">
        <v>100.5</v>
      </c>
      <c r="M6">
        <v>2.83</v>
      </c>
    </row>
    <row r="7" spans="1:13">
      <c r="A7" s="13">
        <v>43983</v>
      </c>
      <c r="B7">
        <v>220</v>
      </c>
      <c r="C7" t="s">
        <v>40</v>
      </c>
      <c r="D7" t="s">
        <v>26</v>
      </c>
      <c r="E7" s="13">
        <v>43983</v>
      </c>
      <c r="F7">
        <v>5</v>
      </c>
      <c r="G7">
        <v>218</v>
      </c>
      <c r="I7">
        <v>0.89999999999999991</v>
      </c>
      <c r="K7">
        <v>100.9</v>
      </c>
      <c r="M7">
        <v>3.7699999999999996</v>
      </c>
    </row>
    <row r="8" spans="1:13">
      <c r="A8" s="13">
        <v>44013</v>
      </c>
      <c r="B8">
        <v>222</v>
      </c>
      <c r="C8" t="s">
        <v>40</v>
      </c>
      <c r="D8" t="s">
        <v>26</v>
      </c>
      <c r="E8" s="13">
        <v>44013</v>
      </c>
      <c r="F8">
        <v>6</v>
      </c>
      <c r="G8">
        <v>220</v>
      </c>
      <c r="I8">
        <v>0.89999999999999991</v>
      </c>
      <c r="K8">
        <v>100.9</v>
      </c>
      <c r="M8">
        <v>4.72</v>
      </c>
    </row>
    <row r="9" spans="1:13">
      <c r="A9" s="13">
        <v>44044</v>
      </c>
      <c r="B9">
        <v>224</v>
      </c>
      <c r="C9" t="s">
        <v>40</v>
      </c>
      <c r="D9" t="s">
        <v>26</v>
      </c>
      <c r="E9" s="13">
        <v>44044</v>
      </c>
      <c r="F9">
        <v>7</v>
      </c>
      <c r="G9">
        <v>222</v>
      </c>
      <c r="I9">
        <v>0.89999999999999991</v>
      </c>
      <c r="K9">
        <v>100.9</v>
      </c>
      <c r="M9">
        <v>5.66</v>
      </c>
    </row>
    <row r="10" spans="1:13">
      <c r="A10" s="13">
        <v>44075</v>
      </c>
      <c r="B10">
        <v>227</v>
      </c>
      <c r="C10" t="s">
        <v>40</v>
      </c>
      <c r="D10" t="s">
        <v>26</v>
      </c>
      <c r="E10" s="13">
        <v>44075</v>
      </c>
      <c r="F10">
        <v>8</v>
      </c>
      <c r="G10">
        <v>224</v>
      </c>
      <c r="I10">
        <v>1.3</v>
      </c>
      <c r="K10">
        <v>101.3</v>
      </c>
      <c r="M10">
        <v>7.08</v>
      </c>
    </row>
    <row r="11" spans="1:13">
      <c r="A11" s="13">
        <v>44105</v>
      </c>
      <c r="B11">
        <v>230</v>
      </c>
      <c r="C11" t="s">
        <v>40</v>
      </c>
      <c r="D11" t="s">
        <v>26</v>
      </c>
      <c r="E11" s="13">
        <v>44105</v>
      </c>
      <c r="F11">
        <v>9</v>
      </c>
      <c r="G11">
        <v>227</v>
      </c>
      <c r="I11">
        <v>1.3</v>
      </c>
      <c r="K11">
        <v>101.3</v>
      </c>
      <c r="M11">
        <v>8.49</v>
      </c>
    </row>
    <row r="12" spans="1:13">
      <c r="A12" s="13">
        <v>44136</v>
      </c>
      <c r="B12">
        <v>232</v>
      </c>
      <c r="C12" t="s">
        <v>40</v>
      </c>
      <c r="D12" t="s">
        <v>26</v>
      </c>
      <c r="E12" s="13">
        <v>44136</v>
      </c>
      <c r="F12">
        <v>10</v>
      </c>
      <c r="G12">
        <v>230</v>
      </c>
      <c r="I12">
        <v>0.89999999999999991</v>
      </c>
      <c r="K12">
        <v>100.9</v>
      </c>
      <c r="M12">
        <v>9.43</v>
      </c>
    </row>
    <row r="13" spans="1:13">
      <c r="A13" s="13">
        <v>44166</v>
      </c>
      <c r="B13">
        <v>234</v>
      </c>
      <c r="C13" t="s">
        <v>40</v>
      </c>
      <c r="D13" t="s">
        <v>26</v>
      </c>
      <c r="E13" s="13">
        <v>44166</v>
      </c>
      <c r="F13">
        <v>11</v>
      </c>
      <c r="G13">
        <v>232</v>
      </c>
      <c r="I13">
        <v>0.89999999999999991</v>
      </c>
      <c r="K13">
        <v>100.9</v>
      </c>
      <c r="M13">
        <v>10.38</v>
      </c>
    </row>
    <row r="14" spans="1:13">
      <c r="A14" s="13">
        <v>44197</v>
      </c>
      <c r="B14">
        <v>236</v>
      </c>
      <c r="C14" t="s">
        <v>40</v>
      </c>
      <c r="D14" t="s">
        <v>26</v>
      </c>
      <c r="E14" s="13">
        <v>44197</v>
      </c>
      <c r="F14">
        <v>12</v>
      </c>
      <c r="G14">
        <v>234</v>
      </c>
      <c r="H14">
        <v>212</v>
      </c>
      <c r="I14">
        <v>0.89999999999999991</v>
      </c>
      <c r="J14">
        <v>11.3</v>
      </c>
      <c r="K14">
        <v>100.9</v>
      </c>
      <c r="L14">
        <v>111.3</v>
      </c>
      <c r="M14">
        <v>0</v>
      </c>
    </row>
    <row r="15" spans="1:13">
      <c r="A15" s="13">
        <v>44228</v>
      </c>
      <c r="B15">
        <v>239</v>
      </c>
      <c r="C15" t="s">
        <v>40</v>
      </c>
      <c r="D15" t="s">
        <v>26</v>
      </c>
      <c r="E15" s="13">
        <v>44228</v>
      </c>
      <c r="F15">
        <v>13</v>
      </c>
      <c r="G15">
        <v>236</v>
      </c>
      <c r="H15">
        <v>213</v>
      </c>
      <c r="I15">
        <v>1.3</v>
      </c>
      <c r="J15">
        <v>12.2</v>
      </c>
      <c r="K15">
        <v>101.3</v>
      </c>
      <c r="L15">
        <v>112.2</v>
      </c>
      <c r="M15">
        <v>1.27</v>
      </c>
    </row>
    <row r="16" spans="1:13">
      <c r="A16" s="13">
        <v>44256</v>
      </c>
      <c r="B16">
        <v>244</v>
      </c>
      <c r="C16" t="s">
        <v>40</v>
      </c>
      <c r="D16" t="s">
        <v>26</v>
      </c>
      <c r="E16" s="13">
        <v>44256</v>
      </c>
      <c r="F16">
        <v>14</v>
      </c>
      <c r="G16">
        <v>239</v>
      </c>
      <c r="H16">
        <v>215</v>
      </c>
      <c r="I16">
        <v>2.1</v>
      </c>
      <c r="J16">
        <v>13.5</v>
      </c>
      <c r="K16">
        <v>102.1</v>
      </c>
      <c r="L16">
        <v>113.5</v>
      </c>
      <c r="M16">
        <v>3.39</v>
      </c>
    </row>
    <row r="17" spans="1:13">
      <c r="A17" s="13">
        <v>44287</v>
      </c>
      <c r="B17">
        <v>250</v>
      </c>
      <c r="C17" t="s">
        <v>40</v>
      </c>
      <c r="D17" t="s">
        <v>26</v>
      </c>
      <c r="E17" s="13">
        <v>44287</v>
      </c>
      <c r="F17">
        <v>15</v>
      </c>
      <c r="G17">
        <v>244</v>
      </c>
      <c r="H17">
        <v>217</v>
      </c>
      <c r="I17">
        <v>2.5</v>
      </c>
      <c r="J17">
        <v>15.2</v>
      </c>
      <c r="K17">
        <v>102.5</v>
      </c>
      <c r="L17">
        <v>115.2</v>
      </c>
      <c r="M17">
        <v>5.93</v>
      </c>
    </row>
    <row r="18" spans="1:13">
      <c r="A18" s="13">
        <v>44317</v>
      </c>
      <c r="B18">
        <v>255</v>
      </c>
      <c r="C18" t="s">
        <v>40</v>
      </c>
      <c r="D18" t="s">
        <v>26</v>
      </c>
      <c r="E18" s="13">
        <v>44317</v>
      </c>
      <c r="F18">
        <v>16</v>
      </c>
      <c r="G18">
        <v>250</v>
      </c>
      <c r="H18">
        <v>218</v>
      </c>
      <c r="I18">
        <v>2</v>
      </c>
      <c r="J18">
        <v>17</v>
      </c>
      <c r="K18">
        <v>102</v>
      </c>
      <c r="L18">
        <v>117</v>
      </c>
      <c r="M18">
        <v>8.0500000000000007</v>
      </c>
    </row>
    <row r="19" spans="1:13">
      <c r="A19" s="13">
        <v>44348</v>
      </c>
      <c r="B19">
        <v>261</v>
      </c>
      <c r="C19" t="s">
        <v>40</v>
      </c>
      <c r="D19" t="s">
        <v>26</v>
      </c>
      <c r="E19" s="13">
        <v>44348</v>
      </c>
      <c r="F19">
        <v>17</v>
      </c>
      <c r="G19">
        <v>255</v>
      </c>
      <c r="H19">
        <v>220</v>
      </c>
      <c r="I19">
        <v>2.4</v>
      </c>
      <c r="J19">
        <v>18.600000000000001</v>
      </c>
      <c r="K19">
        <v>102.4</v>
      </c>
      <c r="L19">
        <v>118.6</v>
      </c>
      <c r="M19">
        <v>10.59</v>
      </c>
    </row>
    <row r="20" spans="1:13">
      <c r="A20" s="13">
        <v>44378</v>
      </c>
      <c r="B20">
        <v>265</v>
      </c>
      <c r="C20" t="s">
        <v>40</v>
      </c>
      <c r="D20" t="s">
        <v>26</v>
      </c>
      <c r="E20" s="13">
        <v>44378</v>
      </c>
      <c r="F20">
        <v>18</v>
      </c>
      <c r="G20">
        <v>261</v>
      </c>
      <c r="H20">
        <v>222</v>
      </c>
      <c r="I20">
        <v>1.5</v>
      </c>
      <c r="J20">
        <v>19.400000000000002</v>
      </c>
      <c r="K20">
        <v>101.5</v>
      </c>
      <c r="L20">
        <v>119.4</v>
      </c>
      <c r="M20">
        <v>12.29</v>
      </c>
    </row>
    <row r="21" spans="1:13">
      <c r="A21" s="13">
        <v>44409</v>
      </c>
      <c r="B21">
        <v>269</v>
      </c>
      <c r="C21" t="s">
        <v>40</v>
      </c>
      <c r="D21" t="s">
        <v>26</v>
      </c>
      <c r="E21" s="13">
        <v>44409</v>
      </c>
      <c r="F21">
        <v>19</v>
      </c>
      <c r="G21">
        <v>265</v>
      </c>
      <c r="H21">
        <v>224</v>
      </c>
      <c r="I21">
        <v>1.5</v>
      </c>
      <c r="J21">
        <v>20.100000000000001</v>
      </c>
      <c r="K21">
        <v>101.5</v>
      </c>
      <c r="L21">
        <v>120.1</v>
      </c>
      <c r="M21">
        <v>13.98</v>
      </c>
    </row>
    <row r="22" spans="1:13">
      <c r="A22" s="13">
        <v>44440</v>
      </c>
      <c r="B22">
        <v>271</v>
      </c>
      <c r="C22" t="s">
        <v>40</v>
      </c>
      <c r="D22" t="s">
        <v>26</v>
      </c>
      <c r="E22" s="13">
        <v>44440</v>
      </c>
      <c r="F22">
        <v>20</v>
      </c>
      <c r="G22">
        <v>269</v>
      </c>
      <c r="H22">
        <v>227</v>
      </c>
      <c r="I22">
        <v>0.70000000000000007</v>
      </c>
      <c r="J22">
        <v>19.400000000000002</v>
      </c>
      <c r="K22">
        <v>100.7</v>
      </c>
      <c r="L22">
        <v>119.4</v>
      </c>
      <c r="M22">
        <v>14.829999999999998</v>
      </c>
    </row>
    <row r="23" spans="1:13">
      <c r="A23" s="13">
        <v>44470</v>
      </c>
      <c r="B23">
        <v>274</v>
      </c>
      <c r="C23" t="s">
        <v>40</v>
      </c>
      <c r="D23" t="s">
        <v>26</v>
      </c>
      <c r="E23" s="13">
        <v>44470</v>
      </c>
      <c r="F23">
        <v>21</v>
      </c>
      <c r="G23">
        <v>271</v>
      </c>
      <c r="H23">
        <v>230</v>
      </c>
      <c r="I23">
        <v>1.0999999999999999</v>
      </c>
      <c r="J23">
        <v>19.100000000000001</v>
      </c>
      <c r="K23">
        <v>101.1</v>
      </c>
      <c r="L23">
        <v>119.1</v>
      </c>
      <c r="M23">
        <v>16.100000000000001</v>
      </c>
    </row>
    <row r="24" spans="1:13">
      <c r="A24" s="13">
        <v>44501</v>
      </c>
      <c r="B24">
        <v>276</v>
      </c>
      <c r="C24" t="s">
        <v>40</v>
      </c>
      <c r="D24" t="s">
        <v>26</v>
      </c>
      <c r="E24" s="13">
        <v>44501</v>
      </c>
      <c r="F24">
        <v>22</v>
      </c>
      <c r="G24">
        <v>274</v>
      </c>
      <c r="H24">
        <v>232</v>
      </c>
      <c r="I24">
        <v>0.70000000000000007</v>
      </c>
      <c r="J24">
        <v>19</v>
      </c>
      <c r="K24">
        <v>100.7</v>
      </c>
      <c r="L24">
        <v>119</v>
      </c>
      <c r="M24">
        <v>16.950000000000003</v>
      </c>
    </row>
    <row r="25" spans="1:13">
      <c r="A25" s="13">
        <v>44531</v>
      </c>
      <c r="B25">
        <v>279</v>
      </c>
      <c r="C25" t="s">
        <v>40</v>
      </c>
      <c r="D25" t="s">
        <v>26</v>
      </c>
      <c r="E25" s="13">
        <v>44531</v>
      </c>
      <c r="F25">
        <v>23</v>
      </c>
      <c r="G25">
        <v>276</v>
      </c>
      <c r="H25">
        <v>234</v>
      </c>
      <c r="I25">
        <v>1.0999999999999999</v>
      </c>
      <c r="J25">
        <v>19.2</v>
      </c>
      <c r="K25">
        <v>101.1</v>
      </c>
      <c r="L25">
        <v>119.2</v>
      </c>
      <c r="M25">
        <v>18.22</v>
      </c>
    </row>
    <row r="26" spans="1:13">
      <c r="A26" s="13">
        <v>44562</v>
      </c>
      <c r="B26">
        <v>282</v>
      </c>
      <c r="C26" t="s">
        <v>40</v>
      </c>
      <c r="D26" t="s">
        <v>26</v>
      </c>
      <c r="E26" s="13">
        <v>44562</v>
      </c>
      <c r="F26">
        <v>24</v>
      </c>
      <c r="G26">
        <v>279</v>
      </c>
      <c r="H26">
        <v>236</v>
      </c>
      <c r="I26">
        <v>1.0999999999999999</v>
      </c>
      <c r="J26">
        <v>19.5</v>
      </c>
      <c r="K26">
        <v>101.1</v>
      </c>
      <c r="L26">
        <v>119.5</v>
      </c>
      <c r="M26">
        <v>0</v>
      </c>
    </row>
    <row r="27" spans="1:13">
      <c r="A27" s="13">
        <v>44593</v>
      </c>
      <c r="B27">
        <v>287</v>
      </c>
      <c r="C27" t="s">
        <v>40</v>
      </c>
      <c r="D27" t="s">
        <v>26</v>
      </c>
      <c r="E27" s="13">
        <v>44593</v>
      </c>
      <c r="F27">
        <v>25</v>
      </c>
      <c r="G27">
        <v>282</v>
      </c>
      <c r="H27">
        <v>239</v>
      </c>
      <c r="I27">
        <v>1.7999999999999998</v>
      </c>
      <c r="J27">
        <v>20.100000000000001</v>
      </c>
      <c r="K27">
        <v>101.8</v>
      </c>
      <c r="L27">
        <v>120.1</v>
      </c>
      <c r="M27">
        <v>1.77</v>
      </c>
    </row>
    <row r="28" spans="1:13">
      <c r="A28" s="13">
        <v>44621</v>
      </c>
      <c r="B28">
        <v>295</v>
      </c>
      <c r="C28" t="s">
        <v>40</v>
      </c>
      <c r="D28" t="s">
        <v>26</v>
      </c>
      <c r="E28" s="13">
        <v>44621</v>
      </c>
      <c r="F28">
        <v>26</v>
      </c>
      <c r="G28">
        <v>287</v>
      </c>
      <c r="H28">
        <v>244</v>
      </c>
      <c r="I28">
        <v>2.8000000000000003</v>
      </c>
      <c r="J28">
        <v>20.9</v>
      </c>
      <c r="K28">
        <v>102.8</v>
      </c>
      <c r="L28">
        <v>120.9</v>
      </c>
      <c r="M28">
        <v>4.6100000000000003</v>
      </c>
    </row>
    <row r="29" spans="1:13">
      <c r="A29" s="13">
        <v>44652</v>
      </c>
      <c r="B29">
        <v>302</v>
      </c>
      <c r="C29" t="s">
        <v>40</v>
      </c>
      <c r="D29" t="s">
        <v>26</v>
      </c>
      <c r="E29" s="13">
        <v>44652</v>
      </c>
      <c r="F29">
        <v>27</v>
      </c>
      <c r="G29">
        <v>295</v>
      </c>
      <c r="H29">
        <v>250</v>
      </c>
      <c r="I29">
        <v>2.4</v>
      </c>
      <c r="J29">
        <v>20.8</v>
      </c>
      <c r="K29">
        <v>102.4</v>
      </c>
      <c r="L29">
        <v>120.8</v>
      </c>
      <c r="M29">
        <v>7.0900000000000007</v>
      </c>
    </row>
    <row r="30" spans="1:13">
      <c r="A30" s="13">
        <v>44682</v>
      </c>
      <c r="B30">
        <v>306</v>
      </c>
      <c r="C30" t="s">
        <v>40</v>
      </c>
      <c r="D30" t="s">
        <v>26</v>
      </c>
      <c r="E30" s="13">
        <v>44682</v>
      </c>
      <c r="F30">
        <v>28</v>
      </c>
      <c r="G30">
        <v>302</v>
      </c>
      <c r="H30">
        <v>255</v>
      </c>
      <c r="I30">
        <v>1.3</v>
      </c>
      <c r="J30">
        <v>20</v>
      </c>
      <c r="K30">
        <v>101.3</v>
      </c>
      <c r="L30">
        <v>120</v>
      </c>
      <c r="M30">
        <v>8.51</v>
      </c>
    </row>
    <row r="31" spans="1:13">
      <c r="A31" s="13">
        <v>44713</v>
      </c>
      <c r="B31">
        <v>308</v>
      </c>
      <c r="C31" t="s">
        <v>40</v>
      </c>
      <c r="D31" t="s">
        <v>26</v>
      </c>
      <c r="E31" s="13">
        <v>44713</v>
      </c>
      <c r="F31">
        <v>29</v>
      </c>
      <c r="G31">
        <v>306</v>
      </c>
      <c r="H31">
        <v>261</v>
      </c>
      <c r="I31">
        <v>0.70000000000000007</v>
      </c>
      <c r="J31">
        <v>18</v>
      </c>
      <c r="K31">
        <v>100.7</v>
      </c>
      <c r="L31">
        <v>118</v>
      </c>
      <c r="M31">
        <v>9.2200000000000006</v>
      </c>
    </row>
    <row r="32" spans="1:13">
      <c r="A32" s="13">
        <v>44743</v>
      </c>
      <c r="B32">
        <v>307</v>
      </c>
      <c r="C32" t="s">
        <v>40</v>
      </c>
      <c r="D32" t="s">
        <v>26</v>
      </c>
      <c r="E32" s="13">
        <v>44743</v>
      </c>
      <c r="F32">
        <v>30</v>
      </c>
      <c r="G32">
        <v>308</v>
      </c>
      <c r="H32">
        <v>265</v>
      </c>
      <c r="I32">
        <v>-0.3</v>
      </c>
      <c r="J32">
        <v>15.8</v>
      </c>
      <c r="K32">
        <v>99.7</v>
      </c>
      <c r="L32">
        <v>115.8</v>
      </c>
      <c r="M32">
        <v>8.870000000000001</v>
      </c>
    </row>
    <row r="33" spans="1:13">
      <c r="A33" s="13">
        <v>44774</v>
      </c>
      <c r="B33">
        <v>304</v>
      </c>
      <c r="C33" t="s">
        <v>40</v>
      </c>
      <c r="D33" t="s">
        <v>26</v>
      </c>
      <c r="E33" s="13">
        <v>44774</v>
      </c>
      <c r="F33">
        <v>31</v>
      </c>
      <c r="G33">
        <v>307</v>
      </c>
      <c r="H33">
        <v>269</v>
      </c>
      <c r="I33">
        <v>-1</v>
      </c>
      <c r="J33">
        <v>13</v>
      </c>
      <c r="K33">
        <v>99</v>
      </c>
      <c r="L33">
        <v>113</v>
      </c>
      <c r="M33">
        <v>7.8</v>
      </c>
    </row>
    <row r="34" spans="1:13">
      <c r="A34" s="13">
        <v>44805</v>
      </c>
      <c r="B34">
        <v>300</v>
      </c>
      <c r="C34" t="s">
        <v>40</v>
      </c>
      <c r="D34" t="s">
        <v>26</v>
      </c>
      <c r="E34" s="13">
        <v>44805</v>
      </c>
      <c r="F34">
        <v>32</v>
      </c>
      <c r="G34">
        <v>304</v>
      </c>
      <c r="H34">
        <v>271</v>
      </c>
      <c r="I34">
        <v>-1.3</v>
      </c>
      <c r="J34">
        <v>10.7</v>
      </c>
      <c r="K34">
        <v>98.7</v>
      </c>
      <c r="L34">
        <v>110.7</v>
      </c>
      <c r="M34">
        <v>6.38</v>
      </c>
    </row>
    <row r="35" spans="1:13">
      <c r="A35" s="13">
        <v>44835</v>
      </c>
      <c r="B35">
        <v>299</v>
      </c>
      <c r="C35" t="s">
        <v>40</v>
      </c>
      <c r="D35" t="s">
        <v>26</v>
      </c>
      <c r="E35" s="13">
        <v>44835</v>
      </c>
      <c r="F35">
        <v>33</v>
      </c>
      <c r="G35">
        <v>300</v>
      </c>
      <c r="H35">
        <v>274</v>
      </c>
      <c r="I35">
        <v>-0.3</v>
      </c>
      <c r="J35">
        <v>9.1</v>
      </c>
      <c r="K35">
        <v>99.7</v>
      </c>
      <c r="L35">
        <v>109.1</v>
      </c>
      <c r="M35">
        <v>6.03</v>
      </c>
    </row>
    <row r="36" spans="1:13">
      <c r="A36" s="13">
        <v>44866</v>
      </c>
      <c r="B36">
        <v>297</v>
      </c>
      <c r="C36" t="s">
        <v>40</v>
      </c>
      <c r="D36" t="s">
        <v>26</v>
      </c>
      <c r="E36" s="13">
        <v>44866</v>
      </c>
      <c r="F36">
        <v>34</v>
      </c>
      <c r="G36">
        <v>299</v>
      </c>
      <c r="H36">
        <v>276</v>
      </c>
      <c r="I36">
        <v>-0.70000000000000007</v>
      </c>
      <c r="J36">
        <v>7.6</v>
      </c>
      <c r="K36">
        <v>99.3</v>
      </c>
      <c r="L36">
        <v>107.6</v>
      </c>
      <c r="M36">
        <v>5.3199999999999994</v>
      </c>
    </row>
    <row r="37" spans="1:13">
      <c r="A37" s="13">
        <v>44896</v>
      </c>
      <c r="B37">
        <v>294</v>
      </c>
      <c r="C37" t="s">
        <v>40</v>
      </c>
      <c r="D37" t="s">
        <v>26</v>
      </c>
      <c r="E37" s="13">
        <v>44896</v>
      </c>
      <c r="F37">
        <v>35</v>
      </c>
      <c r="G37">
        <v>297</v>
      </c>
      <c r="H37">
        <v>279</v>
      </c>
      <c r="I37">
        <v>-1</v>
      </c>
      <c r="J37">
        <v>5.4</v>
      </c>
      <c r="K37">
        <v>99</v>
      </c>
      <c r="L37">
        <v>105.4</v>
      </c>
      <c r="M37">
        <v>4.26</v>
      </c>
    </row>
    <row r="38" spans="1:13">
      <c r="A38" s="13">
        <v>44927</v>
      </c>
      <c r="B38">
        <v>293</v>
      </c>
      <c r="C38" t="s">
        <v>40</v>
      </c>
      <c r="D38" t="s">
        <v>26</v>
      </c>
      <c r="E38" s="13">
        <v>44927</v>
      </c>
      <c r="F38">
        <v>36</v>
      </c>
      <c r="G38">
        <v>294</v>
      </c>
      <c r="H38">
        <v>282</v>
      </c>
      <c r="I38">
        <v>-0.3</v>
      </c>
      <c r="J38">
        <v>3.9</v>
      </c>
      <c r="K38">
        <v>99.7</v>
      </c>
      <c r="L38">
        <v>103.9</v>
      </c>
      <c r="M38">
        <v>0</v>
      </c>
    </row>
    <row r="39" spans="1:13">
      <c r="A39" s="13">
        <v>44958</v>
      </c>
      <c r="B39">
        <v>294</v>
      </c>
      <c r="C39" t="s">
        <v>40</v>
      </c>
      <c r="D39" t="s">
        <v>26</v>
      </c>
      <c r="E39" s="13">
        <v>44958</v>
      </c>
      <c r="F39">
        <v>37</v>
      </c>
      <c r="G39">
        <v>293</v>
      </c>
      <c r="H39">
        <v>287</v>
      </c>
      <c r="I39">
        <v>0.3</v>
      </c>
      <c r="J39">
        <v>2.4</v>
      </c>
      <c r="K39">
        <v>100.3</v>
      </c>
      <c r="L39">
        <v>102.4</v>
      </c>
      <c r="M39">
        <v>0.33999999999999997</v>
      </c>
    </row>
    <row r="40" spans="1:13">
      <c r="A40" s="13">
        <v>44986</v>
      </c>
      <c r="B40">
        <v>297</v>
      </c>
      <c r="C40" t="s">
        <v>40</v>
      </c>
      <c r="D40" t="s">
        <v>26</v>
      </c>
      <c r="E40" s="13">
        <v>44986</v>
      </c>
      <c r="F40">
        <v>38</v>
      </c>
      <c r="G40">
        <v>294</v>
      </c>
      <c r="H40">
        <v>295</v>
      </c>
      <c r="I40">
        <v>1</v>
      </c>
      <c r="J40">
        <v>0.70000000000000007</v>
      </c>
      <c r="K40">
        <v>101</v>
      </c>
      <c r="L40">
        <v>100.7</v>
      </c>
      <c r="M40">
        <v>1.37</v>
      </c>
    </row>
    <row r="41" spans="1:13">
      <c r="A41" s="13">
        <v>45017</v>
      </c>
      <c r="B41">
        <v>302</v>
      </c>
      <c r="C41" t="s">
        <v>40</v>
      </c>
      <c r="D41" t="s">
        <v>26</v>
      </c>
      <c r="E41" s="13">
        <v>45017</v>
      </c>
      <c r="F41">
        <v>39</v>
      </c>
      <c r="G41">
        <v>297</v>
      </c>
      <c r="H41">
        <v>302</v>
      </c>
      <c r="I41">
        <v>1.7000000000000002</v>
      </c>
      <c r="J41">
        <v>0</v>
      </c>
      <c r="K41">
        <v>101.7</v>
      </c>
      <c r="L41">
        <v>100</v>
      </c>
      <c r="M41">
        <v>3.0700000000000003</v>
      </c>
    </row>
    <row r="42" spans="1:13">
      <c r="A42" s="13">
        <v>45047</v>
      </c>
      <c r="B42">
        <v>305</v>
      </c>
      <c r="C42" t="s">
        <v>40</v>
      </c>
      <c r="D42" t="s">
        <v>26</v>
      </c>
      <c r="E42" s="13">
        <v>45047</v>
      </c>
      <c r="F42">
        <v>40</v>
      </c>
      <c r="G42">
        <v>302</v>
      </c>
      <c r="H42">
        <v>306</v>
      </c>
      <c r="I42">
        <v>1</v>
      </c>
      <c r="J42">
        <v>-0.3</v>
      </c>
      <c r="K42">
        <v>101</v>
      </c>
      <c r="L42">
        <v>99.7</v>
      </c>
      <c r="M42">
        <v>4.1000000000000005</v>
      </c>
    </row>
    <row r="43" spans="1:13">
      <c r="A43" s="13">
        <v>45078</v>
      </c>
      <c r="B43">
        <v>308</v>
      </c>
      <c r="C43" t="s">
        <v>40</v>
      </c>
      <c r="D43" t="s">
        <v>26</v>
      </c>
      <c r="E43" s="13">
        <v>45078</v>
      </c>
      <c r="F43">
        <v>41</v>
      </c>
      <c r="G43">
        <v>305</v>
      </c>
      <c r="H43">
        <v>308</v>
      </c>
      <c r="I43">
        <v>1</v>
      </c>
      <c r="J43">
        <v>0</v>
      </c>
      <c r="K43">
        <v>101</v>
      </c>
      <c r="L43">
        <v>100</v>
      </c>
      <c r="M43">
        <v>5.12</v>
      </c>
    </row>
    <row r="44" spans="1:13">
      <c r="A44" s="13">
        <v>45108</v>
      </c>
      <c r="B44">
        <v>310</v>
      </c>
      <c r="C44" t="s">
        <v>40</v>
      </c>
      <c r="D44" t="s">
        <v>26</v>
      </c>
      <c r="E44" s="13">
        <v>45108</v>
      </c>
      <c r="F44">
        <v>42</v>
      </c>
      <c r="G44">
        <v>308</v>
      </c>
      <c r="H44">
        <v>307</v>
      </c>
      <c r="I44">
        <v>0.6</v>
      </c>
      <c r="J44">
        <v>1</v>
      </c>
      <c r="K44">
        <v>100.6</v>
      </c>
      <c r="L44">
        <v>101</v>
      </c>
      <c r="M44">
        <v>5.8000000000000007</v>
      </c>
    </row>
    <row r="45" spans="1:13">
      <c r="A45" s="13">
        <v>45139</v>
      </c>
      <c r="B45">
        <v>312</v>
      </c>
      <c r="C45" t="s">
        <v>40</v>
      </c>
      <c r="D45" t="s">
        <v>26</v>
      </c>
      <c r="E45" s="13">
        <v>45139</v>
      </c>
      <c r="F45">
        <v>43</v>
      </c>
      <c r="G45">
        <v>310</v>
      </c>
      <c r="H45">
        <v>304</v>
      </c>
      <c r="I45">
        <v>0.6</v>
      </c>
      <c r="J45">
        <v>2.6</v>
      </c>
      <c r="K45">
        <v>100.6</v>
      </c>
      <c r="L45">
        <v>102.6</v>
      </c>
      <c r="M45">
        <v>6.4799999999999995</v>
      </c>
    </row>
    <row r="46" spans="1:13">
      <c r="A46" s="13">
        <v>45170</v>
      </c>
      <c r="B46">
        <v>313</v>
      </c>
      <c r="C46" t="s">
        <v>40</v>
      </c>
      <c r="D46" t="s">
        <v>26</v>
      </c>
      <c r="E46" s="13">
        <v>45170</v>
      </c>
      <c r="F46">
        <v>44</v>
      </c>
      <c r="G46">
        <v>312</v>
      </c>
      <c r="H46">
        <v>300</v>
      </c>
      <c r="I46">
        <v>0.3</v>
      </c>
      <c r="J46">
        <v>4.3</v>
      </c>
      <c r="K46">
        <v>100.3</v>
      </c>
      <c r="L46">
        <v>104.3</v>
      </c>
      <c r="M46">
        <v>6.83</v>
      </c>
    </row>
    <row r="47" spans="1:13">
      <c r="A47" s="13">
        <v>45200</v>
      </c>
      <c r="B47">
        <v>313</v>
      </c>
      <c r="C47" t="s">
        <v>40</v>
      </c>
      <c r="D47" t="s">
        <v>26</v>
      </c>
      <c r="E47" s="13">
        <v>45200</v>
      </c>
      <c r="F47">
        <v>45</v>
      </c>
      <c r="G47">
        <v>313</v>
      </c>
      <c r="H47">
        <v>299</v>
      </c>
      <c r="I47">
        <v>0</v>
      </c>
      <c r="J47">
        <v>4.7</v>
      </c>
      <c r="K47">
        <v>100</v>
      </c>
      <c r="L47">
        <v>104.7</v>
      </c>
      <c r="M47">
        <v>6.83</v>
      </c>
    </row>
    <row r="48" spans="1:13">
      <c r="A48" s="13">
        <v>45231</v>
      </c>
      <c r="B48">
        <v>312</v>
      </c>
      <c r="C48" t="s">
        <v>40</v>
      </c>
      <c r="D48" t="s">
        <v>26</v>
      </c>
      <c r="E48" s="13">
        <v>45231</v>
      </c>
      <c r="F48">
        <v>46</v>
      </c>
      <c r="G48">
        <v>313</v>
      </c>
      <c r="H48">
        <v>297</v>
      </c>
      <c r="I48">
        <v>-0.3</v>
      </c>
      <c r="J48">
        <v>5.0999999999999996</v>
      </c>
      <c r="K48">
        <v>99.7</v>
      </c>
      <c r="L48">
        <v>105.1</v>
      </c>
      <c r="M48">
        <v>6.4799999999999995</v>
      </c>
    </row>
    <row r="49" spans="1:13">
      <c r="A49" s="13">
        <v>45261</v>
      </c>
      <c r="B49">
        <v>311</v>
      </c>
      <c r="C49" t="s">
        <v>40</v>
      </c>
      <c r="D49" t="s">
        <v>26</v>
      </c>
      <c r="E49" s="13">
        <v>45261</v>
      </c>
      <c r="F49">
        <v>47</v>
      </c>
      <c r="G49">
        <v>312</v>
      </c>
      <c r="H49">
        <v>294</v>
      </c>
      <c r="I49">
        <v>-0.3</v>
      </c>
      <c r="J49">
        <v>5.8000000000000007</v>
      </c>
      <c r="K49">
        <v>99.7</v>
      </c>
      <c r="L49">
        <v>105.8</v>
      </c>
      <c r="M49">
        <v>6.1400000000000006</v>
      </c>
    </row>
    <row r="50" spans="1:13">
      <c r="A50" s="13">
        <v>45292</v>
      </c>
      <c r="B50">
        <v>311</v>
      </c>
      <c r="C50" t="s">
        <v>40</v>
      </c>
      <c r="D50" t="s">
        <v>26</v>
      </c>
      <c r="E50" s="13">
        <v>45292</v>
      </c>
      <c r="F50">
        <v>48</v>
      </c>
      <c r="G50">
        <v>311</v>
      </c>
      <c r="H50">
        <v>293</v>
      </c>
      <c r="I50">
        <v>0</v>
      </c>
      <c r="J50">
        <v>6.1</v>
      </c>
      <c r="K50">
        <v>100</v>
      </c>
      <c r="L50">
        <v>106.1</v>
      </c>
      <c r="M50">
        <v>0</v>
      </c>
    </row>
    <row r="51" spans="1:13">
      <c r="A51" s="13">
        <v>45323</v>
      </c>
      <c r="B51">
        <v>313</v>
      </c>
      <c r="C51" t="s">
        <v>40</v>
      </c>
      <c r="D51" t="s">
        <v>26</v>
      </c>
      <c r="E51" s="13">
        <v>45323</v>
      </c>
      <c r="F51">
        <v>49</v>
      </c>
      <c r="G51">
        <v>311</v>
      </c>
      <c r="H51">
        <v>294</v>
      </c>
      <c r="I51">
        <v>0.6</v>
      </c>
      <c r="J51">
        <v>6.5</v>
      </c>
      <c r="K51">
        <v>100.6</v>
      </c>
      <c r="L51">
        <v>106.5</v>
      </c>
      <c r="M51">
        <v>0.64</v>
      </c>
    </row>
    <row r="52" spans="1:13">
      <c r="A52" s="13">
        <v>45352</v>
      </c>
      <c r="B52">
        <v>317</v>
      </c>
      <c r="C52" t="s">
        <v>40</v>
      </c>
      <c r="D52" t="s">
        <v>26</v>
      </c>
      <c r="E52" s="13">
        <v>45352</v>
      </c>
      <c r="F52">
        <v>50</v>
      </c>
      <c r="G52">
        <v>313</v>
      </c>
      <c r="H52">
        <v>297</v>
      </c>
      <c r="I52">
        <v>1.3</v>
      </c>
      <c r="J52">
        <v>6.7</v>
      </c>
      <c r="K52">
        <v>101.3</v>
      </c>
      <c r="L52">
        <v>106.7</v>
      </c>
      <c r="M52">
        <v>1.9300000000000002</v>
      </c>
    </row>
    <row r="53" spans="1:13">
      <c r="A53" s="13">
        <v>45383</v>
      </c>
      <c r="B53">
        <v>321</v>
      </c>
      <c r="C53" t="s">
        <v>40</v>
      </c>
      <c r="D53" t="s">
        <v>26</v>
      </c>
      <c r="E53" s="13">
        <v>45383</v>
      </c>
      <c r="F53">
        <v>51</v>
      </c>
      <c r="G53">
        <v>317</v>
      </c>
      <c r="H53">
        <v>302</v>
      </c>
      <c r="I53">
        <v>1.3</v>
      </c>
      <c r="J53">
        <v>6.3</v>
      </c>
      <c r="K53">
        <v>101.3</v>
      </c>
      <c r="L53">
        <v>106.3</v>
      </c>
      <c r="M53">
        <v>3.2199999999999998</v>
      </c>
    </row>
    <row r="54" spans="1:13">
      <c r="A54" s="13">
        <v>45413</v>
      </c>
      <c r="B54">
        <v>324</v>
      </c>
      <c r="C54" t="s">
        <v>40</v>
      </c>
      <c r="D54" t="s">
        <v>26</v>
      </c>
      <c r="E54" s="13">
        <v>45413</v>
      </c>
      <c r="F54">
        <v>52</v>
      </c>
      <c r="G54">
        <v>321</v>
      </c>
      <c r="H54">
        <v>305</v>
      </c>
      <c r="I54">
        <v>0.89999999999999991</v>
      </c>
      <c r="J54">
        <v>6.2</v>
      </c>
      <c r="K54">
        <v>100.9</v>
      </c>
      <c r="L54">
        <v>106.2</v>
      </c>
      <c r="M54">
        <v>4.18</v>
      </c>
    </row>
    <row r="55" spans="1:13">
      <c r="A55" s="13">
        <v>45444</v>
      </c>
      <c r="B55">
        <v>325</v>
      </c>
      <c r="C55" t="s">
        <v>40</v>
      </c>
      <c r="D55" t="s">
        <v>26</v>
      </c>
      <c r="E55" s="13">
        <v>45444</v>
      </c>
      <c r="F55">
        <v>53</v>
      </c>
      <c r="G55">
        <v>324</v>
      </c>
      <c r="H55">
        <v>308</v>
      </c>
      <c r="I55">
        <v>0.3</v>
      </c>
      <c r="J55">
        <v>5.5</v>
      </c>
      <c r="K55">
        <v>100.3</v>
      </c>
      <c r="L55">
        <v>105.5</v>
      </c>
      <c r="M55">
        <v>4.5</v>
      </c>
    </row>
    <row r="56" spans="1:13">
      <c r="A56" s="13">
        <v>45474</v>
      </c>
      <c r="B56">
        <v>326</v>
      </c>
      <c r="C56" t="s">
        <v>40</v>
      </c>
      <c r="D56" t="s">
        <v>26</v>
      </c>
      <c r="E56" s="13">
        <v>45474</v>
      </c>
      <c r="F56">
        <v>54</v>
      </c>
      <c r="G56">
        <v>325</v>
      </c>
      <c r="H56">
        <v>310</v>
      </c>
      <c r="I56">
        <v>0.3</v>
      </c>
      <c r="J56">
        <v>5.2</v>
      </c>
      <c r="K56">
        <v>100.3</v>
      </c>
      <c r="L56">
        <v>105.2</v>
      </c>
      <c r="M56">
        <v>4.82</v>
      </c>
    </row>
    <row r="57" spans="1:13">
      <c r="A57" s="13">
        <v>45505</v>
      </c>
      <c r="B57">
        <v>325</v>
      </c>
      <c r="C57" t="s">
        <v>40</v>
      </c>
      <c r="D57" t="s">
        <v>26</v>
      </c>
      <c r="E57" s="13">
        <v>45505</v>
      </c>
      <c r="F57">
        <v>55</v>
      </c>
      <c r="G57">
        <v>326</v>
      </c>
      <c r="H57">
        <v>312</v>
      </c>
      <c r="I57">
        <v>-0.3</v>
      </c>
      <c r="J57">
        <v>4.2</v>
      </c>
      <c r="K57">
        <v>99.7</v>
      </c>
      <c r="L57">
        <v>104.2</v>
      </c>
      <c r="M57">
        <v>4.5</v>
      </c>
    </row>
    <row r="58" spans="1:13">
      <c r="A58" s="13">
        <v>45536</v>
      </c>
      <c r="B58">
        <v>325</v>
      </c>
      <c r="C58" t="s">
        <v>40</v>
      </c>
      <c r="D58" t="s">
        <v>26</v>
      </c>
      <c r="E58" s="13">
        <v>45536</v>
      </c>
      <c r="F58">
        <v>56</v>
      </c>
      <c r="G58">
        <v>325</v>
      </c>
      <c r="H58">
        <v>313</v>
      </c>
      <c r="I58">
        <v>0</v>
      </c>
      <c r="J58">
        <v>3.8</v>
      </c>
      <c r="K58">
        <v>100</v>
      </c>
      <c r="L58">
        <v>103.8</v>
      </c>
      <c r="M58">
        <v>4.5</v>
      </c>
    </row>
    <row r="59" spans="1:13">
      <c r="A59" s="13">
        <v>45566</v>
      </c>
      <c r="B59">
        <v>324</v>
      </c>
      <c r="C59" t="s">
        <v>40</v>
      </c>
      <c r="D59" t="s">
        <v>26</v>
      </c>
      <c r="E59" s="13">
        <v>45566</v>
      </c>
      <c r="F59">
        <v>57</v>
      </c>
      <c r="G59">
        <v>325</v>
      </c>
      <c r="H59">
        <v>313</v>
      </c>
      <c r="I59">
        <v>-0.3</v>
      </c>
      <c r="J59">
        <v>3.5000000000000004</v>
      </c>
      <c r="K59">
        <v>99.7</v>
      </c>
      <c r="L59">
        <v>103.5</v>
      </c>
      <c r="M59">
        <v>4.18</v>
      </c>
    </row>
    <row r="60" spans="1:13">
      <c r="A60" s="13">
        <v>45597</v>
      </c>
      <c r="B60">
        <v>324</v>
      </c>
      <c r="C60" t="s">
        <v>40</v>
      </c>
      <c r="D60" t="s">
        <v>26</v>
      </c>
      <c r="E60" s="13">
        <v>45597</v>
      </c>
      <c r="F60">
        <v>58</v>
      </c>
      <c r="G60">
        <v>324</v>
      </c>
      <c r="H60">
        <v>312</v>
      </c>
      <c r="I60">
        <v>0</v>
      </c>
      <c r="J60">
        <v>3.8</v>
      </c>
      <c r="K60">
        <v>100</v>
      </c>
      <c r="L60">
        <v>103.8</v>
      </c>
      <c r="M60">
        <v>4.18</v>
      </c>
    </row>
    <row r="61" spans="1:13">
      <c r="A61" s="13">
        <v>45627</v>
      </c>
      <c r="B61">
        <v>323</v>
      </c>
      <c r="C61" t="s">
        <v>40</v>
      </c>
      <c r="D61" t="s">
        <v>26</v>
      </c>
      <c r="E61" s="13">
        <v>45627</v>
      </c>
      <c r="F61">
        <v>59</v>
      </c>
      <c r="G61">
        <v>324</v>
      </c>
      <c r="H61">
        <v>311</v>
      </c>
      <c r="I61">
        <v>-0.3</v>
      </c>
      <c r="J61">
        <v>3.9</v>
      </c>
      <c r="K61">
        <v>99.7</v>
      </c>
      <c r="L61">
        <v>103.9</v>
      </c>
      <c r="M61">
        <v>3.8600000000000003</v>
      </c>
    </row>
    <row r="62" spans="1:13">
      <c r="A62" s="13">
        <v>45658</v>
      </c>
      <c r="B62">
        <v>324</v>
      </c>
      <c r="C62" t="s">
        <v>40</v>
      </c>
      <c r="D62" t="s">
        <v>26</v>
      </c>
      <c r="E62" s="13">
        <v>45658</v>
      </c>
      <c r="F62">
        <v>60</v>
      </c>
      <c r="G62">
        <v>323</v>
      </c>
      <c r="H62">
        <v>311</v>
      </c>
      <c r="I62">
        <v>0.3</v>
      </c>
      <c r="J62">
        <v>4.2</v>
      </c>
      <c r="K62">
        <v>100.3</v>
      </c>
      <c r="L62">
        <v>104.2</v>
      </c>
      <c r="M62">
        <v>0</v>
      </c>
    </row>
    <row r="63" spans="1:13">
      <c r="A63" s="13">
        <v>45689</v>
      </c>
      <c r="B63">
        <v>325</v>
      </c>
      <c r="C63" t="s">
        <v>40</v>
      </c>
      <c r="D63" t="s">
        <v>26</v>
      </c>
      <c r="E63" s="13">
        <v>45689</v>
      </c>
      <c r="F63">
        <v>61</v>
      </c>
      <c r="G63">
        <v>324</v>
      </c>
      <c r="H63">
        <v>313</v>
      </c>
      <c r="I63">
        <v>0.3</v>
      </c>
      <c r="J63">
        <v>3.8</v>
      </c>
      <c r="K63">
        <v>100.3</v>
      </c>
      <c r="L63">
        <v>103.8</v>
      </c>
      <c r="M63">
        <v>0.31</v>
      </c>
    </row>
    <row r="64" spans="1:13">
      <c r="A64" s="13">
        <v>45717</v>
      </c>
      <c r="B64">
        <v>328</v>
      </c>
      <c r="C64" t="s">
        <v>40</v>
      </c>
      <c r="D64" t="s">
        <v>26</v>
      </c>
      <c r="E64" s="13">
        <v>45717</v>
      </c>
      <c r="F64">
        <v>62</v>
      </c>
      <c r="G64">
        <v>325</v>
      </c>
      <c r="H64">
        <v>317</v>
      </c>
      <c r="I64">
        <v>0.89999999999999991</v>
      </c>
      <c r="J64">
        <v>3.5000000000000004</v>
      </c>
      <c r="K64">
        <v>100.9</v>
      </c>
      <c r="L64">
        <v>103.5</v>
      </c>
      <c r="M64">
        <v>1.23</v>
      </c>
    </row>
    <row r="65" spans="1:13">
      <c r="A65" s="13">
        <v>45748</v>
      </c>
      <c r="B65">
        <v>330</v>
      </c>
      <c r="C65" t="s">
        <v>40</v>
      </c>
      <c r="D65" t="s">
        <v>26</v>
      </c>
      <c r="E65" s="13">
        <v>45748</v>
      </c>
      <c r="F65">
        <v>63</v>
      </c>
      <c r="G65">
        <v>328</v>
      </c>
      <c r="H65">
        <v>321</v>
      </c>
      <c r="I65">
        <v>0.6</v>
      </c>
      <c r="J65">
        <v>2.8000000000000003</v>
      </c>
      <c r="K65">
        <v>100.6</v>
      </c>
      <c r="L65">
        <v>102.8</v>
      </c>
      <c r="M65">
        <v>1.8499999999999999</v>
      </c>
    </row>
    <row r="66" spans="1:13">
      <c r="A66" s="13">
        <v>45778</v>
      </c>
      <c r="B66">
        <v>331</v>
      </c>
      <c r="C66" t="s">
        <v>40</v>
      </c>
      <c r="D66" t="s">
        <v>26</v>
      </c>
      <c r="E66" s="13">
        <v>45778</v>
      </c>
      <c r="F66">
        <v>64</v>
      </c>
      <c r="G66">
        <v>330</v>
      </c>
      <c r="H66">
        <v>324</v>
      </c>
      <c r="I66">
        <v>0.3</v>
      </c>
      <c r="J66">
        <v>2.1999999999999997</v>
      </c>
      <c r="K66">
        <v>100.3</v>
      </c>
      <c r="L66">
        <v>102.2</v>
      </c>
      <c r="M66">
        <v>2.16</v>
      </c>
    </row>
    <row r="67" spans="1:13">
      <c r="A67" s="13">
        <v>45809</v>
      </c>
      <c r="B67">
        <v>332</v>
      </c>
      <c r="C67" t="s">
        <v>40</v>
      </c>
      <c r="D67" t="s">
        <v>26</v>
      </c>
      <c r="E67" s="13">
        <v>45809</v>
      </c>
      <c r="F67">
        <v>65</v>
      </c>
      <c r="G67">
        <v>331</v>
      </c>
      <c r="H67">
        <v>325</v>
      </c>
      <c r="I67">
        <v>0.3</v>
      </c>
      <c r="J67">
        <v>2.1999999999999997</v>
      </c>
      <c r="K67">
        <v>100.3</v>
      </c>
      <c r="L67">
        <v>102.2</v>
      </c>
      <c r="M67">
        <v>2.4699999999999998</v>
      </c>
    </row>
    <row r="68" spans="1:13">
      <c r="A68" s="13">
        <v>45839</v>
      </c>
      <c r="B68">
        <v>331</v>
      </c>
      <c r="C68" t="s">
        <v>40</v>
      </c>
      <c r="D68" t="s">
        <v>26</v>
      </c>
      <c r="E68" s="13">
        <v>45839</v>
      </c>
      <c r="F68">
        <v>66</v>
      </c>
      <c r="G68">
        <v>332</v>
      </c>
      <c r="H68">
        <v>326</v>
      </c>
      <c r="I68">
        <v>-0.3</v>
      </c>
      <c r="J68">
        <v>1.5</v>
      </c>
      <c r="K68">
        <v>99.7</v>
      </c>
      <c r="L68">
        <v>101.5</v>
      </c>
      <c r="M68">
        <v>2.16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B3618-7E7D-B043-ACFB-E6824BD3B6F7}">
  <dimension ref="A1:M69"/>
  <sheetViews>
    <sheetView topLeftCell="A51" workbookViewId="0">
      <selection activeCell="M12" sqref="M12"/>
    </sheetView>
  </sheetViews>
  <sheetFormatPr baseColWidth="10" defaultRowHeight="28"/>
  <cols>
    <col min="1" max="1" width="9.5" bestFit="1" customWidth="1"/>
    <col min="2" max="2" width="7.08203125" bestFit="1" customWidth="1"/>
    <col min="3" max="3" width="8.33203125" hidden="1" customWidth="1"/>
    <col min="4" max="4" width="14.33203125" hidden="1" customWidth="1"/>
    <col min="5" max="5" width="28.6640625" hidden="1" customWidth="1"/>
    <col min="6" max="6" width="6.08203125" hidden="1" customWidth="1"/>
    <col min="7" max="7" width="17.5" hidden="1" customWidth="1"/>
    <col min="8" max="8" width="15.5" hidden="1" customWidth="1"/>
    <col min="9" max="9" width="6.83203125" bestFit="1" customWidth="1"/>
    <col min="10" max="10" width="5.6640625" bestFit="1" customWidth="1"/>
    <col min="11" max="11" width="10.4140625" bestFit="1" customWidth="1"/>
    <col min="12" max="12" width="14.1640625" bestFit="1" customWidth="1"/>
    <col min="13" max="13" width="7.9140625" bestFit="1" customWidth="1"/>
  </cols>
  <sheetData>
    <row r="1" spans="1:13">
      <c r="A1" t="s">
        <v>18</v>
      </c>
      <c r="B1" t="s">
        <v>20</v>
      </c>
      <c r="C1" t="s">
        <v>24</v>
      </c>
      <c r="D1" t="s">
        <v>22</v>
      </c>
      <c r="E1" t="s">
        <v>30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1</v>
      </c>
      <c r="L1" t="s">
        <v>2</v>
      </c>
      <c r="M1" t="s">
        <v>38</v>
      </c>
    </row>
    <row r="2" spans="1:13">
      <c r="A2" s="13">
        <v>43831</v>
      </c>
      <c r="B2">
        <v>186</v>
      </c>
      <c r="C2" t="s">
        <v>39</v>
      </c>
      <c r="D2" t="s">
        <v>26</v>
      </c>
      <c r="E2" s="13">
        <v>43831</v>
      </c>
      <c r="F2">
        <v>0</v>
      </c>
      <c r="M2">
        <v>0</v>
      </c>
    </row>
    <row r="3" spans="1:13">
      <c r="A3" s="13">
        <v>43862</v>
      </c>
      <c r="B3">
        <v>185</v>
      </c>
      <c r="C3" t="s">
        <v>39</v>
      </c>
      <c r="D3" t="s">
        <v>26</v>
      </c>
      <c r="E3" s="13">
        <v>43862</v>
      </c>
      <c r="F3">
        <v>1</v>
      </c>
      <c r="G3">
        <v>186</v>
      </c>
      <c r="I3">
        <v>-0.5</v>
      </c>
      <c r="K3">
        <v>99.5</v>
      </c>
      <c r="M3">
        <v>-0.54</v>
      </c>
    </row>
    <row r="4" spans="1:13">
      <c r="A4" s="13">
        <v>43891</v>
      </c>
      <c r="B4">
        <v>182</v>
      </c>
      <c r="C4" t="s">
        <v>39</v>
      </c>
      <c r="D4" t="s">
        <v>26</v>
      </c>
      <c r="E4" s="13">
        <v>43891</v>
      </c>
      <c r="F4">
        <v>2</v>
      </c>
      <c r="G4">
        <v>185</v>
      </c>
      <c r="I4">
        <v>-1.6</v>
      </c>
      <c r="K4">
        <v>98.4</v>
      </c>
      <c r="M4">
        <v>-2.15</v>
      </c>
    </row>
    <row r="5" spans="1:13">
      <c r="A5" s="13">
        <v>43922</v>
      </c>
      <c r="B5">
        <v>180</v>
      </c>
      <c r="C5" t="s">
        <v>39</v>
      </c>
      <c r="D5" t="s">
        <v>26</v>
      </c>
      <c r="E5" s="13">
        <v>43922</v>
      </c>
      <c r="F5">
        <v>3</v>
      </c>
      <c r="G5">
        <v>182</v>
      </c>
      <c r="I5">
        <v>-1.0999999999999999</v>
      </c>
      <c r="K5">
        <v>98.9</v>
      </c>
      <c r="M5">
        <v>-3.2300000000000004</v>
      </c>
    </row>
    <row r="6" spans="1:13">
      <c r="A6" s="13">
        <v>43952</v>
      </c>
      <c r="B6">
        <v>178</v>
      </c>
      <c r="C6" t="s">
        <v>39</v>
      </c>
      <c r="D6" t="s">
        <v>26</v>
      </c>
      <c r="E6" s="13">
        <v>43952</v>
      </c>
      <c r="F6">
        <v>4</v>
      </c>
      <c r="G6">
        <v>180</v>
      </c>
      <c r="I6">
        <v>-1.0999999999999999</v>
      </c>
      <c r="K6">
        <v>98.9</v>
      </c>
      <c r="M6">
        <v>-4.3</v>
      </c>
    </row>
    <row r="7" spans="1:13">
      <c r="A7" s="13">
        <v>43983</v>
      </c>
      <c r="B7">
        <v>180</v>
      </c>
      <c r="C7" t="s">
        <v>39</v>
      </c>
      <c r="D7" t="s">
        <v>26</v>
      </c>
      <c r="E7" s="13">
        <v>43983</v>
      </c>
      <c r="F7">
        <v>5</v>
      </c>
      <c r="G7">
        <v>178</v>
      </c>
      <c r="I7">
        <v>1.0999999999999999</v>
      </c>
      <c r="K7">
        <v>101.1</v>
      </c>
      <c r="M7">
        <v>-3.2300000000000004</v>
      </c>
    </row>
    <row r="8" spans="1:13">
      <c r="A8" s="13">
        <v>44013</v>
      </c>
      <c r="B8">
        <v>181</v>
      </c>
      <c r="C8" t="s">
        <v>39</v>
      </c>
      <c r="D8" t="s">
        <v>26</v>
      </c>
      <c r="E8" s="13">
        <v>44013</v>
      </c>
      <c r="F8">
        <v>6</v>
      </c>
      <c r="G8">
        <v>180</v>
      </c>
      <c r="I8">
        <v>0.6</v>
      </c>
      <c r="K8">
        <v>100.6</v>
      </c>
      <c r="M8">
        <v>-2.69</v>
      </c>
    </row>
    <row r="9" spans="1:13">
      <c r="A9" s="13">
        <v>44044</v>
      </c>
      <c r="B9">
        <v>181</v>
      </c>
      <c r="C9" t="s">
        <v>39</v>
      </c>
      <c r="D9" t="s">
        <v>26</v>
      </c>
      <c r="E9" s="13">
        <v>44044</v>
      </c>
      <c r="F9">
        <v>7</v>
      </c>
      <c r="G9">
        <v>181</v>
      </c>
      <c r="I9">
        <v>0</v>
      </c>
      <c r="K9">
        <v>100</v>
      </c>
      <c r="M9">
        <v>-2.69</v>
      </c>
    </row>
    <row r="10" spans="1:13">
      <c r="A10" s="13">
        <v>44075</v>
      </c>
      <c r="B10">
        <v>179</v>
      </c>
      <c r="C10" t="s">
        <v>39</v>
      </c>
      <c r="D10" t="s">
        <v>26</v>
      </c>
      <c r="E10" s="13">
        <v>44075</v>
      </c>
      <c r="F10">
        <v>8</v>
      </c>
      <c r="G10">
        <v>181</v>
      </c>
      <c r="I10">
        <v>-1.0999999999999999</v>
      </c>
      <c r="K10">
        <v>98.9</v>
      </c>
      <c r="M10">
        <v>-3.7600000000000002</v>
      </c>
    </row>
    <row r="11" spans="1:13">
      <c r="A11" s="13">
        <v>44105</v>
      </c>
      <c r="B11">
        <v>178</v>
      </c>
      <c r="C11" t="s">
        <v>39</v>
      </c>
      <c r="D11" t="s">
        <v>26</v>
      </c>
      <c r="E11" s="13">
        <v>44105</v>
      </c>
      <c r="F11">
        <v>9</v>
      </c>
      <c r="G11">
        <v>179</v>
      </c>
      <c r="I11">
        <v>-0.6</v>
      </c>
      <c r="K11">
        <v>99.4</v>
      </c>
      <c r="M11">
        <v>-4.3</v>
      </c>
    </row>
    <row r="12" spans="1:13">
      <c r="A12" s="13">
        <v>44136</v>
      </c>
      <c r="B12">
        <v>178</v>
      </c>
      <c r="C12" t="s">
        <v>39</v>
      </c>
      <c r="D12" t="s">
        <v>26</v>
      </c>
      <c r="E12" s="13">
        <v>44136</v>
      </c>
      <c r="F12">
        <v>10</v>
      </c>
      <c r="G12">
        <v>178</v>
      </c>
      <c r="I12">
        <v>0</v>
      </c>
      <c r="K12">
        <v>100</v>
      </c>
      <c r="M12">
        <v>-4.3</v>
      </c>
    </row>
    <row r="13" spans="1:13">
      <c r="A13" s="13">
        <v>44166</v>
      </c>
      <c r="B13">
        <v>177</v>
      </c>
      <c r="C13" t="s">
        <v>39</v>
      </c>
      <c r="D13" t="s">
        <v>26</v>
      </c>
      <c r="E13" s="13">
        <v>44166</v>
      </c>
      <c r="F13">
        <v>11</v>
      </c>
      <c r="G13">
        <v>178</v>
      </c>
      <c r="I13">
        <v>-0.6</v>
      </c>
      <c r="K13">
        <v>99.4</v>
      </c>
      <c r="M13">
        <v>-4.84</v>
      </c>
    </row>
    <row r="14" spans="1:13">
      <c r="A14" s="13">
        <v>44197</v>
      </c>
      <c r="B14">
        <v>176</v>
      </c>
      <c r="C14" t="s">
        <v>39</v>
      </c>
      <c r="D14" t="s">
        <v>26</v>
      </c>
      <c r="E14" s="13">
        <v>44197</v>
      </c>
      <c r="F14">
        <v>12</v>
      </c>
      <c r="G14">
        <v>177</v>
      </c>
      <c r="H14">
        <v>186</v>
      </c>
      <c r="I14">
        <v>-0.6</v>
      </c>
      <c r="J14">
        <v>-5.4</v>
      </c>
      <c r="K14">
        <v>99.4</v>
      </c>
      <c r="L14">
        <v>94.6</v>
      </c>
      <c r="M14">
        <v>0</v>
      </c>
    </row>
    <row r="15" spans="1:13">
      <c r="A15" s="13">
        <v>44228</v>
      </c>
      <c r="B15">
        <v>174</v>
      </c>
      <c r="C15" t="s">
        <v>39</v>
      </c>
      <c r="D15" t="s">
        <v>26</v>
      </c>
      <c r="E15" s="13">
        <v>44228</v>
      </c>
      <c r="F15">
        <v>13</v>
      </c>
      <c r="G15">
        <v>176</v>
      </c>
      <c r="H15">
        <v>185</v>
      </c>
      <c r="I15">
        <v>-1.0999999999999999</v>
      </c>
      <c r="J15">
        <v>-5.8999999999999995</v>
      </c>
      <c r="K15">
        <v>98.9</v>
      </c>
      <c r="L15">
        <v>94.1</v>
      </c>
      <c r="M15">
        <v>-1.1400000000000001</v>
      </c>
    </row>
    <row r="16" spans="1:13">
      <c r="A16" s="13">
        <v>44256</v>
      </c>
      <c r="B16">
        <v>175</v>
      </c>
      <c r="C16" t="s">
        <v>39</v>
      </c>
      <c r="D16" t="s">
        <v>26</v>
      </c>
      <c r="E16" s="13">
        <v>44256</v>
      </c>
      <c r="F16">
        <v>14</v>
      </c>
      <c r="G16">
        <v>174</v>
      </c>
      <c r="H16">
        <v>182</v>
      </c>
      <c r="I16">
        <v>0.6</v>
      </c>
      <c r="J16">
        <v>-3.8</v>
      </c>
      <c r="K16">
        <v>100.6</v>
      </c>
      <c r="L16">
        <v>96.2</v>
      </c>
      <c r="M16">
        <v>-0.57000000000000006</v>
      </c>
    </row>
    <row r="17" spans="1:13">
      <c r="A17" s="13">
        <v>44287</v>
      </c>
      <c r="B17">
        <v>178</v>
      </c>
      <c r="C17" t="s">
        <v>39</v>
      </c>
      <c r="D17" t="s">
        <v>26</v>
      </c>
      <c r="E17" s="13">
        <v>44287</v>
      </c>
      <c r="F17">
        <v>15</v>
      </c>
      <c r="G17">
        <v>175</v>
      </c>
      <c r="H17">
        <v>180</v>
      </c>
      <c r="I17">
        <v>1.7000000000000002</v>
      </c>
      <c r="J17">
        <v>-1.0999999999999999</v>
      </c>
      <c r="K17">
        <v>101.7</v>
      </c>
      <c r="L17">
        <v>98.9</v>
      </c>
      <c r="M17">
        <v>1.1400000000000001</v>
      </c>
    </row>
    <row r="18" spans="1:13">
      <c r="A18" s="13">
        <v>44317</v>
      </c>
      <c r="B18">
        <v>178</v>
      </c>
      <c r="C18" t="s">
        <v>39</v>
      </c>
      <c r="D18" t="s">
        <v>26</v>
      </c>
      <c r="E18" s="13">
        <v>44317</v>
      </c>
      <c r="F18">
        <v>16</v>
      </c>
      <c r="G18">
        <v>178</v>
      </c>
      <c r="H18">
        <v>178</v>
      </c>
      <c r="I18">
        <v>0</v>
      </c>
      <c r="J18">
        <v>0</v>
      </c>
      <c r="K18">
        <v>100</v>
      </c>
      <c r="L18">
        <v>100</v>
      </c>
      <c r="M18">
        <v>1.1400000000000001</v>
      </c>
    </row>
    <row r="19" spans="1:13">
      <c r="A19" s="13">
        <v>44348</v>
      </c>
      <c r="B19">
        <v>179</v>
      </c>
      <c r="C19" t="s">
        <v>39</v>
      </c>
      <c r="D19" t="s">
        <v>26</v>
      </c>
      <c r="E19" s="13">
        <v>44348</v>
      </c>
      <c r="F19">
        <v>17</v>
      </c>
      <c r="G19">
        <v>178</v>
      </c>
      <c r="H19">
        <v>180</v>
      </c>
      <c r="I19">
        <v>0.6</v>
      </c>
      <c r="J19">
        <v>-0.6</v>
      </c>
      <c r="K19">
        <v>100.6</v>
      </c>
      <c r="L19">
        <v>99.4</v>
      </c>
      <c r="M19">
        <v>1.7000000000000002</v>
      </c>
    </row>
    <row r="20" spans="1:13">
      <c r="A20" s="13">
        <v>44378</v>
      </c>
      <c r="B20">
        <v>180</v>
      </c>
      <c r="C20" t="s">
        <v>39</v>
      </c>
      <c r="D20" t="s">
        <v>26</v>
      </c>
      <c r="E20" s="13">
        <v>44378</v>
      </c>
      <c r="F20">
        <v>18</v>
      </c>
      <c r="G20">
        <v>179</v>
      </c>
      <c r="H20">
        <v>181</v>
      </c>
      <c r="I20">
        <v>0.6</v>
      </c>
      <c r="J20">
        <v>-0.6</v>
      </c>
      <c r="K20">
        <v>100.6</v>
      </c>
      <c r="L20">
        <v>99.4</v>
      </c>
      <c r="M20">
        <v>2.27</v>
      </c>
    </row>
    <row r="21" spans="1:13">
      <c r="A21" s="13">
        <v>44409</v>
      </c>
      <c r="B21">
        <v>183</v>
      </c>
      <c r="C21" t="s">
        <v>39</v>
      </c>
      <c r="D21" t="s">
        <v>26</v>
      </c>
      <c r="E21" s="13">
        <v>44409</v>
      </c>
      <c r="F21">
        <v>19</v>
      </c>
      <c r="G21">
        <v>180</v>
      </c>
      <c r="H21">
        <v>181</v>
      </c>
      <c r="I21">
        <v>1.7000000000000002</v>
      </c>
      <c r="J21">
        <v>1.0999999999999999</v>
      </c>
      <c r="K21">
        <v>101.7</v>
      </c>
      <c r="L21">
        <v>101.1</v>
      </c>
      <c r="M21">
        <v>3.9800000000000004</v>
      </c>
    </row>
    <row r="22" spans="1:13">
      <c r="A22" s="13">
        <v>44440</v>
      </c>
      <c r="B22">
        <v>184</v>
      </c>
      <c r="C22" t="s">
        <v>39</v>
      </c>
      <c r="D22" t="s">
        <v>26</v>
      </c>
      <c r="E22" s="13">
        <v>44440</v>
      </c>
      <c r="F22">
        <v>20</v>
      </c>
      <c r="G22">
        <v>183</v>
      </c>
      <c r="H22">
        <v>179</v>
      </c>
      <c r="I22">
        <v>0.5</v>
      </c>
      <c r="J22">
        <v>2.8000000000000003</v>
      </c>
      <c r="K22">
        <v>100.5</v>
      </c>
      <c r="L22">
        <v>102.8</v>
      </c>
      <c r="M22">
        <v>4.55</v>
      </c>
    </row>
    <row r="23" spans="1:13">
      <c r="A23" s="13">
        <v>44470</v>
      </c>
      <c r="B23">
        <v>184</v>
      </c>
      <c r="C23" t="s">
        <v>39</v>
      </c>
      <c r="D23" t="s">
        <v>26</v>
      </c>
      <c r="E23" s="13">
        <v>44470</v>
      </c>
      <c r="F23">
        <v>21</v>
      </c>
      <c r="G23">
        <v>184</v>
      </c>
      <c r="H23">
        <v>178</v>
      </c>
      <c r="I23">
        <v>0</v>
      </c>
      <c r="J23">
        <v>3.4000000000000004</v>
      </c>
      <c r="K23">
        <v>100</v>
      </c>
      <c r="L23">
        <v>103.4</v>
      </c>
      <c r="M23">
        <v>4.55</v>
      </c>
    </row>
    <row r="24" spans="1:13">
      <c r="A24" s="13">
        <v>44501</v>
      </c>
      <c r="B24">
        <v>183</v>
      </c>
      <c r="C24" t="s">
        <v>39</v>
      </c>
      <c r="D24" t="s">
        <v>26</v>
      </c>
      <c r="E24" s="13">
        <v>44501</v>
      </c>
      <c r="F24">
        <v>22</v>
      </c>
      <c r="G24">
        <v>184</v>
      </c>
      <c r="H24">
        <v>178</v>
      </c>
      <c r="I24">
        <v>-0.5</v>
      </c>
      <c r="J24">
        <v>2.8000000000000003</v>
      </c>
      <c r="K24">
        <v>99.5</v>
      </c>
      <c r="L24">
        <v>102.8</v>
      </c>
      <c r="M24">
        <v>3.9800000000000004</v>
      </c>
    </row>
    <row r="25" spans="1:13">
      <c r="A25" s="13">
        <v>44531</v>
      </c>
      <c r="B25">
        <v>183</v>
      </c>
      <c r="C25" t="s">
        <v>39</v>
      </c>
      <c r="D25" t="s">
        <v>26</v>
      </c>
      <c r="E25" s="13">
        <v>44531</v>
      </c>
      <c r="F25">
        <v>23</v>
      </c>
      <c r="G25">
        <v>183</v>
      </c>
      <c r="H25">
        <v>177</v>
      </c>
      <c r="I25">
        <v>0</v>
      </c>
      <c r="J25">
        <v>3.4000000000000004</v>
      </c>
      <c r="K25">
        <v>100</v>
      </c>
      <c r="L25">
        <v>103.4</v>
      </c>
      <c r="M25">
        <v>3.9800000000000004</v>
      </c>
    </row>
    <row r="26" spans="1:13">
      <c r="A26" s="13">
        <v>44562</v>
      </c>
      <c r="B26">
        <v>181</v>
      </c>
      <c r="C26" t="s">
        <v>39</v>
      </c>
      <c r="D26" t="s">
        <v>26</v>
      </c>
      <c r="E26" s="13">
        <v>44562</v>
      </c>
      <c r="F26">
        <v>24</v>
      </c>
      <c r="G26">
        <v>183</v>
      </c>
      <c r="H26">
        <v>176</v>
      </c>
      <c r="I26">
        <v>-1.0999999999999999</v>
      </c>
      <c r="J26">
        <v>2.8000000000000003</v>
      </c>
      <c r="K26">
        <v>98.9</v>
      </c>
      <c r="L26">
        <v>102.8</v>
      </c>
      <c r="M26">
        <v>0</v>
      </c>
    </row>
    <row r="27" spans="1:13">
      <c r="A27" s="13">
        <v>44593</v>
      </c>
      <c r="B27">
        <v>180</v>
      </c>
      <c r="C27" t="s">
        <v>39</v>
      </c>
      <c r="D27" t="s">
        <v>26</v>
      </c>
      <c r="E27" s="13">
        <v>44593</v>
      </c>
      <c r="F27">
        <v>25</v>
      </c>
      <c r="G27">
        <v>181</v>
      </c>
      <c r="H27">
        <v>174</v>
      </c>
      <c r="I27">
        <v>-0.6</v>
      </c>
      <c r="J27">
        <v>3.4000000000000004</v>
      </c>
      <c r="K27">
        <v>99.4</v>
      </c>
      <c r="L27">
        <v>103.4</v>
      </c>
      <c r="M27">
        <v>-0.54999999999999993</v>
      </c>
    </row>
    <row r="28" spans="1:13">
      <c r="A28" s="13">
        <v>44621</v>
      </c>
      <c r="B28">
        <v>178</v>
      </c>
      <c r="C28" t="s">
        <v>39</v>
      </c>
      <c r="D28" t="s">
        <v>26</v>
      </c>
      <c r="E28" s="13">
        <v>44621</v>
      </c>
      <c r="F28">
        <v>26</v>
      </c>
      <c r="G28">
        <v>180</v>
      </c>
      <c r="H28">
        <v>175</v>
      </c>
      <c r="I28">
        <v>-1.0999999999999999</v>
      </c>
      <c r="J28">
        <v>1.7000000000000002</v>
      </c>
      <c r="K28">
        <v>98.9</v>
      </c>
      <c r="L28">
        <v>101.7</v>
      </c>
      <c r="M28">
        <v>-1.66</v>
      </c>
    </row>
    <row r="29" spans="1:13">
      <c r="A29" s="13">
        <v>44652</v>
      </c>
      <c r="B29">
        <v>177</v>
      </c>
      <c r="C29" t="s">
        <v>39</v>
      </c>
      <c r="D29" t="s">
        <v>26</v>
      </c>
      <c r="E29" s="13">
        <v>44652</v>
      </c>
      <c r="F29">
        <v>27</v>
      </c>
      <c r="G29">
        <v>178</v>
      </c>
      <c r="H29">
        <v>178</v>
      </c>
      <c r="I29">
        <v>-0.6</v>
      </c>
      <c r="J29">
        <v>-0.6</v>
      </c>
      <c r="K29">
        <v>99.4</v>
      </c>
      <c r="L29">
        <v>99.4</v>
      </c>
      <c r="M29">
        <v>-2.21</v>
      </c>
    </row>
    <row r="30" spans="1:13">
      <c r="A30" s="13">
        <v>44682</v>
      </c>
      <c r="B30">
        <v>178</v>
      </c>
      <c r="C30" t="s">
        <v>39</v>
      </c>
      <c r="D30" t="s">
        <v>26</v>
      </c>
      <c r="E30" s="13">
        <v>44682</v>
      </c>
      <c r="F30">
        <v>28</v>
      </c>
      <c r="G30">
        <v>177</v>
      </c>
      <c r="H30">
        <v>178</v>
      </c>
      <c r="I30">
        <v>0.6</v>
      </c>
      <c r="J30">
        <v>0</v>
      </c>
      <c r="K30">
        <v>100.6</v>
      </c>
      <c r="L30">
        <v>100</v>
      </c>
      <c r="M30">
        <v>-1.66</v>
      </c>
    </row>
    <row r="31" spans="1:13">
      <c r="A31" s="13">
        <v>44713</v>
      </c>
      <c r="B31">
        <v>178</v>
      </c>
      <c r="C31" t="s">
        <v>39</v>
      </c>
      <c r="D31" t="s">
        <v>26</v>
      </c>
      <c r="E31" s="13">
        <v>44713</v>
      </c>
      <c r="F31">
        <v>29</v>
      </c>
      <c r="G31">
        <v>178</v>
      </c>
      <c r="H31">
        <v>179</v>
      </c>
      <c r="I31">
        <v>0</v>
      </c>
      <c r="J31">
        <v>-0.6</v>
      </c>
      <c r="K31">
        <v>100</v>
      </c>
      <c r="L31">
        <v>99.4</v>
      </c>
      <c r="M31">
        <v>-1.66</v>
      </c>
    </row>
    <row r="32" spans="1:13">
      <c r="A32" s="13">
        <v>44743</v>
      </c>
      <c r="B32">
        <v>178</v>
      </c>
      <c r="C32" t="s">
        <v>39</v>
      </c>
      <c r="D32" t="s">
        <v>26</v>
      </c>
      <c r="E32" s="13">
        <v>44743</v>
      </c>
      <c r="F32">
        <v>30</v>
      </c>
      <c r="G32">
        <v>178</v>
      </c>
      <c r="H32">
        <v>180</v>
      </c>
      <c r="I32">
        <v>0</v>
      </c>
      <c r="J32">
        <v>-1.0999999999999999</v>
      </c>
      <c r="K32">
        <v>100</v>
      </c>
      <c r="L32">
        <v>98.9</v>
      </c>
      <c r="M32">
        <v>-1.66</v>
      </c>
    </row>
    <row r="33" spans="1:13">
      <c r="A33" s="13">
        <v>44774</v>
      </c>
      <c r="B33">
        <v>179</v>
      </c>
      <c r="C33" t="s">
        <v>39</v>
      </c>
      <c r="D33" t="s">
        <v>26</v>
      </c>
      <c r="E33" s="13">
        <v>44774</v>
      </c>
      <c r="F33">
        <v>31</v>
      </c>
      <c r="G33">
        <v>178</v>
      </c>
      <c r="H33">
        <v>183</v>
      </c>
      <c r="I33">
        <v>0.6</v>
      </c>
      <c r="J33">
        <v>-2.1999999999999997</v>
      </c>
      <c r="K33">
        <v>100.6</v>
      </c>
      <c r="L33">
        <v>97.8</v>
      </c>
      <c r="M33">
        <v>-1.0999999999999999</v>
      </c>
    </row>
    <row r="34" spans="1:13">
      <c r="A34" s="13">
        <v>44805</v>
      </c>
      <c r="B34">
        <v>179</v>
      </c>
      <c r="C34" t="s">
        <v>39</v>
      </c>
      <c r="D34" t="s">
        <v>26</v>
      </c>
      <c r="E34" s="13">
        <v>44805</v>
      </c>
      <c r="F34">
        <v>32</v>
      </c>
      <c r="G34">
        <v>179</v>
      </c>
      <c r="H34">
        <v>184</v>
      </c>
      <c r="I34">
        <v>0</v>
      </c>
      <c r="J34">
        <v>-2.7</v>
      </c>
      <c r="K34">
        <v>100</v>
      </c>
      <c r="L34">
        <v>97.3</v>
      </c>
      <c r="M34">
        <v>-1.0999999999999999</v>
      </c>
    </row>
    <row r="35" spans="1:13">
      <c r="A35" s="13">
        <v>44835</v>
      </c>
      <c r="B35">
        <v>178</v>
      </c>
      <c r="C35" t="s">
        <v>39</v>
      </c>
      <c r="D35" t="s">
        <v>26</v>
      </c>
      <c r="E35" s="13">
        <v>44835</v>
      </c>
      <c r="F35">
        <v>33</v>
      </c>
      <c r="G35">
        <v>179</v>
      </c>
      <c r="H35">
        <v>184</v>
      </c>
      <c r="I35">
        <v>-0.6</v>
      </c>
      <c r="J35">
        <v>-3.3000000000000003</v>
      </c>
      <c r="K35">
        <v>99.4</v>
      </c>
      <c r="L35">
        <v>96.7</v>
      </c>
      <c r="M35">
        <v>-1.66</v>
      </c>
    </row>
    <row r="36" spans="1:13">
      <c r="A36" s="13">
        <v>44866</v>
      </c>
      <c r="B36">
        <v>176</v>
      </c>
      <c r="C36" t="s">
        <v>39</v>
      </c>
      <c r="D36" t="s">
        <v>26</v>
      </c>
      <c r="E36" s="13">
        <v>44866</v>
      </c>
      <c r="F36">
        <v>34</v>
      </c>
      <c r="G36">
        <v>178</v>
      </c>
      <c r="H36">
        <v>183</v>
      </c>
      <c r="I36">
        <v>-1.0999999999999999</v>
      </c>
      <c r="J36">
        <v>-3.8</v>
      </c>
      <c r="K36">
        <v>98.9</v>
      </c>
      <c r="L36">
        <v>96.2</v>
      </c>
      <c r="M36">
        <v>-2.76</v>
      </c>
    </row>
    <row r="37" spans="1:13">
      <c r="A37" s="13">
        <v>44896</v>
      </c>
      <c r="B37">
        <v>176</v>
      </c>
      <c r="C37" t="s">
        <v>39</v>
      </c>
      <c r="D37" t="s">
        <v>26</v>
      </c>
      <c r="E37" s="13">
        <v>44896</v>
      </c>
      <c r="F37">
        <v>35</v>
      </c>
      <c r="G37">
        <v>176</v>
      </c>
      <c r="H37">
        <v>183</v>
      </c>
      <c r="I37">
        <v>0</v>
      </c>
      <c r="J37">
        <v>-3.8</v>
      </c>
      <c r="K37">
        <v>100</v>
      </c>
      <c r="L37">
        <v>96.2</v>
      </c>
      <c r="M37">
        <v>-2.76</v>
      </c>
    </row>
    <row r="38" spans="1:13">
      <c r="A38" s="13">
        <v>44927</v>
      </c>
      <c r="B38">
        <v>174</v>
      </c>
      <c r="C38" t="s">
        <v>39</v>
      </c>
      <c r="D38" t="s">
        <v>26</v>
      </c>
      <c r="E38" s="13">
        <v>44927</v>
      </c>
      <c r="F38">
        <v>36</v>
      </c>
      <c r="G38">
        <v>176</v>
      </c>
      <c r="H38">
        <v>181</v>
      </c>
      <c r="I38">
        <v>-1.0999999999999999</v>
      </c>
      <c r="J38">
        <v>-3.9</v>
      </c>
      <c r="K38">
        <v>98.9</v>
      </c>
      <c r="L38">
        <v>96.1</v>
      </c>
      <c r="M38">
        <v>0</v>
      </c>
    </row>
    <row r="39" spans="1:13">
      <c r="A39" s="13">
        <v>44958</v>
      </c>
      <c r="B39">
        <v>175</v>
      </c>
      <c r="C39" t="s">
        <v>39</v>
      </c>
      <c r="D39" t="s">
        <v>26</v>
      </c>
      <c r="E39" s="13">
        <v>44958</v>
      </c>
      <c r="F39">
        <v>37</v>
      </c>
      <c r="G39">
        <v>174</v>
      </c>
      <c r="H39">
        <v>180</v>
      </c>
      <c r="I39">
        <v>0.6</v>
      </c>
      <c r="J39">
        <v>-2.8000000000000003</v>
      </c>
      <c r="K39">
        <v>100.6</v>
      </c>
      <c r="L39">
        <v>97.2</v>
      </c>
      <c r="M39">
        <v>0.57000000000000006</v>
      </c>
    </row>
    <row r="40" spans="1:13">
      <c r="A40" s="13">
        <v>44986</v>
      </c>
      <c r="B40">
        <v>176</v>
      </c>
      <c r="C40" t="s">
        <v>39</v>
      </c>
      <c r="D40" t="s">
        <v>26</v>
      </c>
      <c r="E40" s="13">
        <v>44986</v>
      </c>
      <c r="F40">
        <v>38</v>
      </c>
      <c r="G40">
        <v>175</v>
      </c>
      <c r="H40">
        <v>178</v>
      </c>
      <c r="I40">
        <v>0.6</v>
      </c>
      <c r="J40">
        <v>-1.0999999999999999</v>
      </c>
      <c r="K40">
        <v>100.6</v>
      </c>
      <c r="L40">
        <v>98.9</v>
      </c>
      <c r="M40">
        <v>1.1499999999999999</v>
      </c>
    </row>
    <row r="41" spans="1:13">
      <c r="A41" s="13">
        <v>45017</v>
      </c>
      <c r="B41">
        <v>179</v>
      </c>
      <c r="C41" t="s">
        <v>39</v>
      </c>
      <c r="D41" t="s">
        <v>26</v>
      </c>
      <c r="E41" s="13">
        <v>45017</v>
      </c>
      <c r="F41">
        <v>39</v>
      </c>
      <c r="G41">
        <v>176</v>
      </c>
      <c r="H41">
        <v>177</v>
      </c>
      <c r="I41">
        <v>1.7000000000000002</v>
      </c>
      <c r="J41">
        <v>1.0999999999999999</v>
      </c>
      <c r="K41">
        <v>101.7</v>
      </c>
      <c r="L41">
        <v>101.1</v>
      </c>
      <c r="M41">
        <v>2.87</v>
      </c>
    </row>
    <row r="42" spans="1:13">
      <c r="A42" s="13">
        <v>45047</v>
      </c>
      <c r="B42">
        <v>180</v>
      </c>
      <c r="C42" t="s">
        <v>39</v>
      </c>
      <c r="D42" t="s">
        <v>26</v>
      </c>
      <c r="E42" s="13">
        <v>45047</v>
      </c>
      <c r="F42">
        <v>40</v>
      </c>
      <c r="G42">
        <v>179</v>
      </c>
      <c r="H42">
        <v>178</v>
      </c>
      <c r="I42">
        <v>0.6</v>
      </c>
      <c r="J42">
        <v>1.0999999999999999</v>
      </c>
      <c r="K42">
        <v>100.6</v>
      </c>
      <c r="L42">
        <v>101.1</v>
      </c>
      <c r="M42">
        <v>3.45</v>
      </c>
    </row>
    <row r="43" spans="1:13">
      <c r="A43" s="13">
        <v>45078</v>
      </c>
      <c r="B43">
        <v>181</v>
      </c>
      <c r="C43" t="s">
        <v>39</v>
      </c>
      <c r="D43" t="s">
        <v>26</v>
      </c>
      <c r="E43" s="13">
        <v>45078</v>
      </c>
      <c r="F43">
        <v>41</v>
      </c>
      <c r="G43">
        <v>180</v>
      </c>
      <c r="H43">
        <v>178</v>
      </c>
      <c r="I43">
        <v>0.6</v>
      </c>
      <c r="J43">
        <v>1.7000000000000002</v>
      </c>
      <c r="K43">
        <v>100.6</v>
      </c>
      <c r="L43">
        <v>101.7</v>
      </c>
      <c r="M43">
        <v>4.0199999999999996</v>
      </c>
    </row>
    <row r="44" spans="1:13">
      <c r="A44" s="13">
        <v>45108</v>
      </c>
      <c r="B44">
        <v>182</v>
      </c>
      <c r="C44" t="s">
        <v>39</v>
      </c>
      <c r="D44" t="s">
        <v>26</v>
      </c>
      <c r="E44" s="13">
        <v>45108</v>
      </c>
      <c r="F44">
        <v>42</v>
      </c>
      <c r="G44">
        <v>181</v>
      </c>
      <c r="H44">
        <v>178</v>
      </c>
      <c r="I44">
        <v>0.6</v>
      </c>
      <c r="J44">
        <v>2.1999999999999997</v>
      </c>
      <c r="K44">
        <v>100.6</v>
      </c>
      <c r="L44">
        <v>102.2</v>
      </c>
      <c r="M44">
        <v>4.5999999999999996</v>
      </c>
    </row>
    <row r="45" spans="1:13">
      <c r="A45" s="13">
        <v>45139</v>
      </c>
      <c r="B45">
        <v>185</v>
      </c>
      <c r="C45" t="s">
        <v>39</v>
      </c>
      <c r="D45" t="s">
        <v>26</v>
      </c>
      <c r="E45" s="13">
        <v>45139</v>
      </c>
      <c r="F45">
        <v>43</v>
      </c>
      <c r="G45">
        <v>182</v>
      </c>
      <c r="H45">
        <v>179</v>
      </c>
      <c r="I45">
        <v>1.6</v>
      </c>
      <c r="J45">
        <v>3.4000000000000004</v>
      </c>
      <c r="K45">
        <v>101.6</v>
      </c>
      <c r="L45">
        <v>103.4</v>
      </c>
      <c r="M45">
        <v>6.32</v>
      </c>
    </row>
    <row r="46" spans="1:13">
      <c r="A46" s="13">
        <v>45170</v>
      </c>
      <c r="B46">
        <v>185</v>
      </c>
      <c r="C46" t="s">
        <v>39</v>
      </c>
      <c r="D46" t="s">
        <v>26</v>
      </c>
      <c r="E46" s="13">
        <v>45170</v>
      </c>
      <c r="F46">
        <v>44</v>
      </c>
      <c r="G46">
        <v>185</v>
      </c>
      <c r="H46">
        <v>179</v>
      </c>
      <c r="I46">
        <v>0</v>
      </c>
      <c r="J46">
        <v>3.4000000000000004</v>
      </c>
      <c r="K46">
        <v>100</v>
      </c>
      <c r="L46">
        <v>103.4</v>
      </c>
      <c r="M46">
        <v>6.32</v>
      </c>
    </row>
    <row r="47" spans="1:13">
      <c r="A47" s="13">
        <v>45200</v>
      </c>
      <c r="B47">
        <v>185</v>
      </c>
      <c r="C47" t="s">
        <v>39</v>
      </c>
      <c r="D47" t="s">
        <v>26</v>
      </c>
      <c r="E47" s="13">
        <v>45200</v>
      </c>
      <c r="F47">
        <v>45</v>
      </c>
      <c r="G47">
        <v>185</v>
      </c>
      <c r="H47">
        <v>178</v>
      </c>
      <c r="I47">
        <v>0</v>
      </c>
      <c r="J47">
        <v>3.9</v>
      </c>
      <c r="K47">
        <v>100</v>
      </c>
      <c r="L47">
        <v>103.9</v>
      </c>
      <c r="M47">
        <v>6.32</v>
      </c>
    </row>
    <row r="48" spans="1:13">
      <c r="A48" s="13">
        <v>45231</v>
      </c>
      <c r="B48">
        <v>186</v>
      </c>
      <c r="C48" t="s">
        <v>39</v>
      </c>
      <c r="D48" t="s">
        <v>26</v>
      </c>
      <c r="E48" s="13">
        <v>45231</v>
      </c>
      <c r="F48">
        <v>46</v>
      </c>
      <c r="G48">
        <v>185</v>
      </c>
      <c r="H48">
        <v>176</v>
      </c>
      <c r="I48">
        <v>0.5</v>
      </c>
      <c r="J48">
        <v>5.7</v>
      </c>
      <c r="K48">
        <v>100.5</v>
      </c>
      <c r="L48">
        <v>105.7</v>
      </c>
      <c r="M48">
        <v>6.9</v>
      </c>
    </row>
    <row r="49" spans="1:13">
      <c r="A49" s="13">
        <v>45261</v>
      </c>
      <c r="B49">
        <v>186</v>
      </c>
      <c r="C49" t="s">
        <v>39</v>
      </c>
      <c r="D49" t="s">
        <v>26</v>
      </c>
      <c r="E49" s="13">
        <v>45261</v>
      </c>
      <c r="F49">
        <v>47</v>
      </c>
      <c r="G49">
        <v>186</v>
      </c>
      <c r="H49">
        <v>176</v>
      </c>
      <c r="I49">
        <v>0</v>
      </c>
      <c r="J49">
        <v>5.7</v>
      </c>
      <c r="K49">
        <v>100</v>
      </c>
      <c r="L49">
        <v>105.7</v>
      </c>
      <c r="M49">
        <v>6.9</v>
      </c>
    </row>
    <row r="50" spans="1:13">
      <c r="A50" s="13">
        <v>45292</v>
      </c>
      <c r="B50">
        <v>186</v>
      </c>
      <c r="C50" t="s">
        <v>39</v>
      </c>
      <c r="D50" t="s">
        <v>26</v>
      </c>
      <c r="E50" s="13">
        <v>45292</v>
      </c>
      <c r="F50">
        <v>48</v>
      </c>
      <c r="G50">
        <v>186</v>
      </c>
      <c r="H50">
        <v>174</v>
      </c>
      <c r="I50">
        <v>0</v>
      </c>
      <c r="J50">
        <v>6.9</v>
      </c>
      <c r="K50">
        <v>100</v>
      </c>
      <c r="L50">
        <v>106.9</v>
      </c>
      <c r="M50">
        <v>0</v>
      </c>
    </row>
    <row r="51" spans="1:13">
      <c r="A51" s="13">
        <v>45323</v>
      </c>
      <c r="B51">
        <v>184</v>
      </c>
      <c r="C51" t="s">
        <v>39</v>
      </c>
      <c r="D51" t="s">
        <v>26</v>
      </c>
      <c r="E51" s="13">
        <v>45323</v>
      </c>
      <c r="F51">
        <v>49</v>
      </c>
      <c r="G51">
        <v>186</v>
      </c>
      <c r="H51">
        <v>175</v>
      </c>
      <c r="I51">
        <v>-1.0999999999999999</v>
      </c>
      <c r="J51">
        <v>5.0999999999999996</v>
      </c>
      <c r="K51">
        <v>98.9</v>
      </c>
      <c r="L51">
        <v>105.1</v>
      </c>
      <c r="M51">
        <v>-1.08</v>
      </c>
    </row>
    <row r="52" spans="1:13">
      <c r="A52" s="13">
        <v>45352</v>
      </c>
      <c r="B52">
        <v>185</v>
      </c>
      <c r="C52" t="s">
        <v>39</v>
      </c>
      <c r="D52" t="s">
        <v>26</v>
      </c>
      <c r="E52" s="13">
        <v>45352</v>
      </c>
      <c r="F52">
        <v>50</v>
      </c>
      <c r="G52">
        <v>184</v>
      </c>
      <c r="H52">
        <v>176</v>
      </c>
      <c r="I52">
        <v>0.5</v>
      </c>
      <c r="J52">
        <v>5.0999999999999996</v>
      </c>
      <c r="K52">
        <v>100.5</v>
      </c>
      <c r="L52">
        <v>105.1</v>
      </c>
      <c r="M52">
        <v>-0.54</v>
      </c>
    </row>
    <row r="53" spans="1:13">
      <c r="A53" s="13">
        <v>45383</v>
      </c>
      <c r="B53">
        <v>187</v>
      </c>
      <c r="C53" t="s">
        <v>39</v>
      </c>
      <c r="D53" t="s">
        <v>26</v>
      </c>
      <c r="E53" s="13">
        <v>45383</v>
      </c>
      <c r="F53">
        <v>51</v>
      </c>
      <c r="G53">
        <v>185</v>
      </c>
      <c r="H53">
        <v>179</v>
      </c>
      <c r="I53">
        <v>1.0999999999999999</v>
      </c>
      <c r="J53">
        <v>4.5</v>
      </c>
      <c r="K53">
        <v>101.1</v>
      </c>
      <c r="L53">
        <v>104.5</v>
      </c>
      <c r="M53">
        <v>0.54</v>
      </c>
    </row>
    <row r="54" spans="1:13">
      <c r="A54" s="13">
        <v>45413</v>
      </c>
      <c r="B54">
        <v>190</v>
      </c>
      <c r="C54" t="s">
        <v>39</v>
      </c>
      <c r="D54" t="s">
        <v>26</v>
      </c>
      <c r="E54" s="13">
        <v>45413</v>
      </c>
      <c r="F54">
        <v>52</v>
      </c>
      <c r="G54">
        <v>187</v>
      </c>
      <c r="H54">
        <v>180</v>
      </c>
      <c r="I54">
        <v>1.6</v>
      </c>
      <c r="J54">
        <v>5.6000000000000005</v>
      </c>
      <c r="K54">
        <v>101.6</v>
      </c>
      <c r="L54">
        <v>105.6</v>
      </c>
      <c r="M54">
        <v>2.15</v>
      </c>
    </row>
    <row r="55" spans="1:13">
      <c r="A55" s="13">
        <v>45444</v>
      </c>
      <c r="B55">
        <v>192</v>
      </c>
      <c r="C55" t="s">
        <v>39</v>
      </c>
      <c r="D55" t="s">
        <v>26</v>
      </c>
      <c r="E55" s="13">
        <v>45444</v>
      </c>
      <c r="F55">
        <v>53</v>
      </c>
      <c r="G55">
        <v>190</v>
      </c>
      <c r="H55">
        <v>181</v>
      </c>
      <c r="I55">
        <v>1.0999999999999999</v>
      </c>
      <c r="J55">
        <v>6.1</v>
      </c>
      <c r="K55">
        <v>101.1</v>
      </c>
      <c r="L55">
        <v>106.1</v>
      </c>
      <c r="M55">
        <v>3.2300000000000004</v>
      </c>
    </row>
    <row r="56" spans="1:13">
      <c r="A56" s="13">
        <v>45474</v>
      </c>
      <c r="B56">
        <v>194</v>
      </c>
      <c r="C56" t="s">
        <v>39</v>
      </c>
      <c r="D56" t="s">
        <v>26</v>
      </c>
      <c r="E56" s="13">
        <v>45474</v>
      </c>
      <c r="F56">
        <v>54</v>
      </c>
      <c r="G56">
        <v>192</v>
      </c>
      <c r="H56">
        <v>182</v>
      </c>
      <c r="I56">
        <v>1</v>
      </c>
      <c r="J56">
        <v>6.6000000000000005</v>
      </c>
      <c r="K56">
        <v>101</v>
      </c>
      <c r="L56">
        <v>106.6</v>
      </c>
      <c r="M56">
        <v>4.3</v>
      </c>
    </row>
    <row r="57" spans="1:13">
      <c r="A57" s="13">
        <v>45505</v>
      </c>
      <c r="B57">
        <v>195</v>
      </c>
      <c r="C57" t="s">
        <v>39</v>
      </c>
      <c r="D57" t="s">
        <v>26</v>
      </c>
      <c r="E57" s="13">
        <v>45505</v>
      </c>
      <c r="F57">
        <v>55</v>
      </c>
      <c r="G57">
        <v>194</v>
      </c>
      <c r="H57">
        <v>185</v>
      </c>
      <c r="I57">
        <v>0.5</v>
      </c>
      <c r="J57">
        <v>5.4</v>
      </c>
      <c r="K57">
        <v>100.5</v>
      </c>
      <c r="L57">
        <v>105.4</v>
      </c>
      <c r="M57">
        <v>4.84</v>
      </c>
    </row>
    <row r="58" spans="1:13">
      <c r="A58" s="13">
        <v>45536</v>
      </c>
      <c r="B58">
        <v>195</v>
      </c>
      <c r="C58" t="s">
        <v>39</v>
      </c>
      <c r="D58" t="s">
        <v>26</v>
      </c>
      <c r="E58" s="13">
        <v>45536</v>
      </c>
      <c r="F58">
        <v>56</v>
      </c>
      <c r="G58">
        <v>195</v>
      </c>
      <c r="H58">
        <v>185</v>
      </c>
      <c r="I58">
        <v>0</v>
      </c>
      <c r="J58">
        <v>5.4</v>
      </c>
      <c r="K58">
        <v>100</v>
      </c>
      <c r="L58">
        <v>105.4</v>
      </c>
      <c r="M58">
        <v>4.84</v>
      </c>
    </row>
    <row r="59" spans="1:13">
      <c r="A59" s="13">
        <v>45566</v>
      </c>
      <c r="B59">
        <v>193</v>
      </c>
      <c r="C59" t="s">
        <v>39</v>
      </c>
      <c r="D59" t="s">
        <v>26</v>
      </c>
      <c r="E59" s="13">
        <v>45566</v>
      </c>
      <c r="F59">
        <v>57</v>
      </c>
      <c r="G59">
        <v>195</v>
      </c>
      <c r="H59">
        <v>185</v>
      </c>
      <c r="I59">
        <v>-1</v>
      </c>
      <c r="J59">
        <v>4.3</v>
      </c>
      <c r="K59">
        <v>99</v>
      </c>
      <c r="L59">
        <v>104.3</v>
      </c>
      <c r="M59">
        <v>3.7600000000000002</v>
      </c>
    </row>
    <row r="60" spans="1:13">
      <c r="A60" s="13">
        <v>45597</v>
      </c>
      <c r="B60">
        <v>192</v>
      </c>
      <c r="C60" t="s">
        <v>39</v>
      </c>
      <c r="D60" t="s">
        <v>26</v>
      </c>
      <c r="E60" s="13">
        <v>45597</v>
      </c>
      <c r="F60">
        <v>58</v>
      </c>
      <c r="G60">
        <v>193</v>
      </c>
      <c r="H60">
        <v>186</v>
      </c>
      <c r="I60">
        <v>-0.5</v>
      </c>
      <c r="J60">
        <v>3.2</v>
      </c>
      <c r="K60">
        <v>99.5</v>
      </c>
      <c r="L60">
        <v>103.2</v>
      </c>
      <c r="M60">
        <v>3.2300000000000004</v>
      </c>
    </row>
    <row r="61" spans="1:13">
      <c r="A61" s="13">
        <v>45627</v>
      </c>
      <c r="B61">
        <v>192</v>
      </c>
      <c r="C61" t="s">
        <v>39</v>
      </c>
      <c r="D61" t="s">
        <v>26</v>
      </c>
      <c r="E61" s="13">
        <v>45627</v>
      </c>
      <c r="F61">
        <v>59</v>
      </c>
      <c r="G61">
        <v>192</v>
      </c>
      <c r="H61">
        <v>186</v>
      </c>
      <c r="I61">
        <v>0</v>
      </c>
      <c r="J61">
        <v>3.2</v>
      </c>
      <c r="K61">
        <v>100</v>
      </c>
      <c r="L61">
        <v>103.2</v>
      </c>
      <c r="M61">
        <v>3.2300000000000004</v>
      </c>
    </row>
    <row r="62" spans="1:13">
      <c r="A62" s="13">
        <v>45658</v>
      </c>
      <c r="B62">
        <v>193</v>
      </c>
      <c r="C62" t="s">
        <v>39</v>
      </c>
      <c r="D62" t="s">
        <v>26</v>
      </c>
      <c r="E62" s="13">
        <v>45658</v>
      </c>
      <c r="F62">
        <v>60</v>
      </c>
      <c r="G62">
        <v>192</v>
      </c>
      <c r="H62">
        <v>186</v>
      </c>
      <c r="I62">
        <v>0.5</v>
      </c>
      <c r="J62">
        <v>3.8</v>
      </c>
      <c r="K62">
        <v>100.5</v>
      </c>
      <c r="L62">
        <v>103.8</v>
      </c>
      <c r="M62">
        <v>0</v>
      </c>
    </row>
    <row r="63" spans="1:13">
      <c r="A63" s="13">
        <v>45689</v>
      </c>
      <c r="B63">
        <v>193</v>
      </c>
      <c r="C63" t="s">
        <v>39</v>
      </c>
      <c r="D63" t="s">
        <v>26</v>
      </c>
      <c r="E63" s="13">
        <v>45689</v>
      </c>
      <c r="F63">
        <v>61</v>
      </c>
      <c r="G63">
        <v>193</v>
      </c>
      <c r="H63">
        <v>184</v>
      </c>
      <c r="I63">
        <v>0</v>
      </c>
      <c r="J63">
        <v>4.9000000000000004</v>
      </c>
      <c r="K63">
        <v>100</v>
      </c>
      <c r="L63">
        <v>104.9</v>
      </c>
      <c r="M63">
        <v>0</v>
      </c>
    </row>
    <row r="64" spans="1:13">
      <c r="A64" s="13">
        <v>45717</v>
      </c>
      <c r="B64">
        <v>193</v>
      </c>
      <c r="C64" t="s">
        <v>39</v>
      </c>
      <c r="D64" t="s">
        <v>26</v>
      </c>
      <c r="E64" s="13">
        <v>45717</v>
      </c>
      <c r="F64">
        <v>62</v>
      </c>
      <c r="G64">
        <v>193</v>
      </c>
      <c r="H64">
        <v>185</v>
      </c>
      <c r="I64">
        <v>0</v>
      </c>
      <c r="J64">
        <v>4.3</v>
      </c>
      <c r="K64">
        <v>100</v>
      </c>
      <c r="L64">
        <v>104.3</v>
      </c>
      <c r="M64">
        <v>0</v>
      </c>
    </row>
    <row r="65" spans="1:13">
      <c r="A65" s="13">
        <v>45748</v>
      </c>
      <c r="B65">
        <v>194</v>
      </c>
      <c r="C65" t="s">
        <v>39</v>
      </c>
      <c r="D65" t="s">
        <v>26</v>
      </c>
      <c r="E65" s="13">
        <v>45748</v>
      </c>
      <c r="F65">
        <v>63</v>
      </c>
      <c r="G65">
        <v>193</v>
      </c>
      <c r="H65">
        <v>187</v>
      </c>
      <c r="I65">
        <v>0.5</v>
      </c>
      <c r="J65">
        <v>3.6999999999999997</v>
      </c>
      <c r="K65">
        <v>100.5</v>
      </c>
      <c r="L65">
        <v>103.7</v>
      </c>
      <c r="M65">
        <v>0.52</v>
      </c>
    </row>
    <row r="66" spans="1:13">
      <c r="A66" s="13">
        <v>45778</v>
      </c>
      <c r="B66">
        <v>194</v>
      </c>
      <c r="C66" t="s">
        <v>39</v>
      </c>
      <c r="D66" t="s">
        <v>26</v>
      </c>
      <c r="E66" s="13">
        <v>45778</v>
      </c>
      <c r="F66">
        <v>64</v>
      </c>
      <c r="G66">
        <v>194</v>
      </c>
      <c r="H66">
        <v>190</v>
      </c>
      <c r="I66">
        <v>0</v>
      </c>
      <c r="J66">
        <v>2.1</v>
      </c>
      <c r="K66">
        <v>100</v>
      </c>
      <c r="L66">
        <v>102.1</v>
      </c>
      <c r="M66">
        <v>0.52</v>
      </c>
    </row>
    <row r="67" spans="1:13">
      <c r="A67" s="13">
        <v>45809</v>
      </c>
      <c r="B67">
        <v>196</v>
      </c>
      <c r="C67" t="s">
        <v>39</v>
      </c>
      <c r="D67" t="s">
        <v>26</v>
      </c>
      <c r="E67" s="13">
        <v>45809</v>
      </c>
      <c r="F67">
        <v>65</v>
      </c>
      <c r="G67">
        <v>194</v>
      </c>
      <c r="H67">
        <v>192</v>
      </c>
      <c r="I67">
        <v>1</v>
      </c>
      <c r="J67">
        <v>2.1</v>
      </c>
      <c r="K67">
        <v>101</v>
      </c>
      <c r="L67">
        <v>102.1</v>
      </c>
      <c r="M67">
        <v>1.55</v>
      </c>
    </row>
    <row r="68" spans="1:13">
      <c r="A68" s="13">
        <v>45839</v>
      </c>
      <c r="B68">
        <v>196</v>
      </c>
      <c r="C68" t="s">
        <v>39</v>
      </c>
      <c r="D68" t="s">
        <v>26</v>
      </c>
      <c r="E68" s="13">
        <v>45839</v>
      </c>
      <c r="F68">
        <v>66</v>
      </c>
      <c r="G68">
        <v>196</v>
      </c>
      <c r="H68">
        <v>194</v>
      </c>
      <c r="I68">
        <v>0</v>
      </c>
      <c r="J68">
        <v>1</v>
      </c>
      <c r="K68">
        <v>100</v>
      </c>
      <c r="L68">
        <v>101</v>
      </c>
      <c r="M68">
        <v>1.55</v>
      </c>
    </row>
    <row r="69" spans="1:13">
      <c r="A69" s="13">
        <v>45870</v>
      </c>
      <c r="B69">
        <v>199</v>
      </c>
      <c r="C69" t="s">
        <v>39</v>
      </c>
      <c r="D69" t="s">
        <v>26</v>
      </c>
      <c r="E69" s="13">
        <v>45870</v>
      </c>
      <c r="F69">
        <v>67</v>
      </c>
      <c r="G69">
        <v>196</v>
      </c>
      <c r="H69">
        <v>195</v>
      </c>
      <c r="I69">
        <v>1.5</v>
      </c>
      <c r="J69">
        <v>2.1</v>
      </c>
      <c r="K69">
        <v>101.5</v>
      </c>
      <c r="L69">
        <v>102.1</v>
      </c>
      <c r="M69">
        <v>3.11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DEF48-451F-8141-B290-384BA45A03F2}">
  <dimension ref="A1:M69"/>
  <sheetViews>
    <sheetView workbookViewId="0">
      <selection activeCell="B2" sqref="B2"/>
    </sheetView>
  </sheetViews>
  <sheetFormatPr baseColWidth="10" defaultRowHeight="28"/>
  <cols>
    <col min="1" max="1" width="9.5" bestFit="1" customWidth="1"/>
    <col min="2" max="2" width="7.08203125" bestFit="1" customWidth="1"/>
    <col min="3" max="3" width="8.33203125" hidden="1" customWidth="1"/>
    <col min="4" max="4" width="14.33203125" hidden="1" customWidth="1"/>
    <col min="5" max="5" width="28.6640625" hidden="1" customWidth="1"/>
    <col min="6" max="6" width="6.08203125" hidden="1" customWidth="1"/>
    <col min="7" max="7" width="17.5" hidden="1" customWidth="1"/>
    <col min="8" max="8" width="15.5" hidden="1" customWidth="1"/>
    <col min="9" max="9" width="6.83203125" bestFit="1" customWidth="1"/>
    <col min="10" max="10" width="5.6640625" bestFit="1" customWidth="1"/>
    <col min="11" max="11" width="10.4140625" bestFit="1" customWidth="1"/>
    <col min="12" max="12" width="14.1640625" bestFit="1" customWidth="1"/>
    <col min="13" max="13" width="7.9140625" bestFit="1" customWidth="1"/>
  </cols>
  <sheetData>
    <row r="1" spans="1:13">
      <c r="A1" t="s">
        <v>18</v>
      </c>
      <c r="B1" t="s">
        <v>20</v>
      </c>
      <c r="C1" t="s">
        <v>24</v>
      </c>
      <c r="D1" t="s">
        <v>22</v>
      </c>
      <c r="E1" t="s">
        <v>30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1</v>
      </c>
      <c r="L1" t="s">
        <v>2</v>
      </c>
      <c r="M1" t="s">
        <v>38</v>
      </c>
    </row>
    <row r="2" spans="1:13">
      <c r="A2" s="13">
        <v>43831</v>
      </c>
      <c r="B2">
        <v>467</v>
      </c>
      <c r="C2" t="s">
        <v>39</v>
      </c>
      <c r="D2" t="s">
        <v>26</v>
      </c>
      <c r="E2" s="13">
        <v>43831</v>
      </c>
      <c r="F2">
        <v>0</v>
      </c>
      <c r="M2">
        <v>0</v>
      </c>
    </row>
    <row r="3" spans="1:13">
      <c r="A3" s="13">
        <v>43862</v>
      </c>
      <c r="B3">
        <v>469</v>
      </c>
      <c r="C3" t="s">
        <v>39</v>
      </c>
      <c r="D3" t="s">
        <v>26</v>
      </c>
      <c r="E3" s="13">
        <v>43862</v>
      </c>
      <c r="F3">
        <v>1</v>
      </c>
      <c r="G3">
        <v>467</v>
      </c>
      <c r="I3">
        <v>0.4</v>
      </c>
      <c r="K3">
        <v>100.4</v>
      </c>
      <c r="M3">
        <v>0.43</v>
      </c>
    </row>
    <row r="4" spans="1:13">
      <c r="A4" s="13">
        <v>43891</v>
      </c>
      <c r="B4">
        <v>470</v>
      </c>
      <c r="C4" t="s">
        <v>39</v>
      </c>
      <c r="D4" t="s">
        <v>26</v>
      </c>
      <c r="E4" s="13">
        <v>43891</v>
      </c>
      <c r="F4">
        <v>2</v>
      </c>
      <c r="G4">
        <v>469</v>
      </c>
      <c r="I4">
        <v>0.2</v>
      </c>
      <c r="K4">
        <v>100.2</v>
      </c>
      <c r="M4">
        <v>0.64</v>
      </c>
    </row>
    <row r="5" spans="1:13">
      <c r="A5" s="13">
        <v>43922</v>
      </c>
      <c r="B5">
        <v>466</v>
      </c>
      <c r="C5" t="s">
        <v>39</v>
      </c>
      <c r="D5" t="s">
        <v>26</v>
      </c>
      <c r="E5" s="13">
        <v>43922</v>
      </c>
      <c r="F5">
        <v>3</v>
      </c>
      <c r="G5">
        <v>470</v>
      </c>
      <c r="I5">
        <v>-0.89999999999999991</v>
      </c>
      <c r="K5">
        <v>99.1</v>
      </c>
      <c r="M5">
        <v>-0.21</v>
      </c>
    </row>
    <row r="6" spans="1:13">
      <c r="A6" s="13">
        <v>43952</v>
      </c>
      <c r="B6">
        <v>465</v>
      </c>
      <c r="C6" t="s">
        <v>39</v>
      </c>
      <c r="D6" t="s">
        <v>26</v>
      </c>
      <c r="E6" s="13">
        <v>43952</v>
      </c>
      <c r="F6">
        <v>4</v>
      </c>
      <c r="G6">
        <v>466</v>
      </c>
      <c r="I6">
        <v>-0.2</v>
      </c>
      <c r="K6">
        <v>99.8</v>
      </c>
      <c r="M6">
        <v>-0.43</v>
      </c>
    </row>
    <row r="7" spans="1:13">
      <c r="A7" s="13">
        <v>43983</v>
      </c>
      <c r="B7">
        <v>464</v>
      </c>
      <c r="C7" t="s">
        <v>39</v>
      </c>
      <c r="D7" t="s">
        <v>26</v>
      </c>
      <c r="E7" s="13">
        <v>43983</v>
      </c>
      <c r="F7">
        <v>5</v>
      </c>
      <c r="G7">
        <v>465</v>
      </c>
      <c r="I7">
        <v>-0.2</v>
      </c>
      <c r="K7">
        <v>99.8</v>
      </c>
      <c r="M7">
        <v>-0.64</v>
      </c>
    </row>
    <row r="8" spans="1:13">
      <c r="A8" s="13">
        <v>44013</v>
      </c>
      <c r="B8">
        <v>465</v>
      </c>
      <c r="C8" t="s">
        <v>39</v>
      </c>
      <c r="D8" t="s">
        <v>26</v>
      </c>
      <c r="E8" s="13">
        <v>44013</v>
      </c>
      <c r="F8">
        <v>6</v>
      </c>
      <c r="G8">
        <v>464</v>
      </c>
      <c r="I8">
        <v>0.2</v>
      </c>
      <c r="K8">
        <v>100.2</v>
      </c>
      <c r="M8">
        <v>-0.43</v>
      </c>
    </row>
    <row r="9" spans="1:13">
      <c r="A9" s="13">
        <v>44044</v>
      </c>
      <c r="B9">
        <v>466</v>
      </c>
      <c r="C9" t="s">
        <v>39</v>
      </c>
      <c r="D9" t="s">
        <v>26</v>
      </c>
      <c r="E9" s="13">
        <v>44044</v>
      </c>
      <c r="F9">
        <v>7</v>
      </c>
      <c r="G9">
        <v>465</v>
      </c>
      <c r="I9">
        <v>0.2</v>
      </c>
      <c r="K9">
        <v>100.2</v>
      </c>
      <c r="M9">
        <v>-0.21</v>
      </c>
    </row>
    <row r="10" spans="1:13">
      <c r="A10" s="13">
        <v>44075</v>
      </c>
      <c r="B10">
        <v>466</v>
      </c>
      <c r="C10" t="s">
        <v>39</v>
      </c>
      <c r="D10" t="s">
        <v>26</v>
      </c>
      <c r="E10" s="13">
        <v>44075</v>
      </c>
      <c r="F10">
        <v>8</v>
      </c>
      <c r="G10">
        <v>466</v>
      </c>
      <c r="I10">
        <v>0</v>
      </c>
      <c r="K10">
        <v>100</v>
      </c>
      <c r="M10">
        <v>-0.21</v>
      </c>
    </row>
    <row r="11" spans="1:13">
      <c r="A11" s="13">
        <v>44105</v>
      </c>
      <c r="B11">
        <v>469</v>
      </c>
      <c r="C11" t="s">
        <v>39</v>
      </c>
      <c r="D11" t="s">
        <v>26</v>
      </c>
      <c r="E11" s="13">
        <v>44105</v>
      </c>
      <c r="F11">
        <v>9</v>
      </c>
      <c r="G11">
        <v>466</v>
      </c>
      <c r="I11">
        <v>0.6</v>
      </c>
      <c r="K11">
        <v>100.6</v>
      </c>
      <c r="M11">
        <v>0.43</v>
      </c>
    </row>
    <row r="12" spans="1:13">
      <c r="A12" s="13">
        <v>44136</v>
      </c>
      <c r="B12">
        <v>469</v>
      </c>
      <c r="C12" t="s">
        <v>39</v>
      </c>
      <c r="D12" t="s">
        <v>26</v>
      </c>
      <c r="E12" s="13">
        <v>44136</v>
      </c>
      <c r="F12">
        <v>10</v>
      </c>
      <c r="G12">
        <v>469</v>
      </c>
      <c r="I12">
        <v>0</v>
      </c>
      <c r="K12">
        <v>100</v>
      </c>
      <c r="M12">
        <v>0.43</v>
      </c>
    </row>
    <row r="13" spans="1:13">
      <c r="A13" s="13">
        <v>44166</v>
      </c>
      <c r="B13">
        <v>469</v>
      </c>
      <c r="C13" t="s">
        <v>39</v>
      </c>
      <c r="D13" t="s">
        <v>26</v>
      </c>
      <c r="E13" s="13">
        <v>44166</v>
      </c>
      <c r="F13">
        <v>11</v>
      </c>
      <c r="G13">
        <v>469</v>
      </c>
      <c r="I13">
        <v>0</v>
      </c>
      <c r="K13">
        <v>100</v>
      </c>
      <c r="M13">
        <v>0.43</v>
      </c>
    </row>
    <row r="14" spans="1:13">
      <c r="A14" s="13">
        <v>44197</v>
      </c>
      <c r="B14">
        <v>468</v>
      </c>
      <c r="C14" t="s">
        <v>39</v>
      </c>
      <c r="D14" t="s">
        <v>26</v>
      </c>
      <c r="E14" s="13">
        <v>44197</v>
      </c>
      <c r="F14">
        <v>12</v>
      </c>
      <c r="G14">
        <v>469</v>
      </c>
      <c r="H14">
        <v>467</v>
      </c>
      <c r="I14">
        <v>-0.2</v>
      </c>
      <c r="J14">
        <v>0.2</v>
      </c>
      <c r="K14">
        <v>99.8</v>
      </c>
      <c r="L14">
        <v>100.2</v>
      </c>
      <c r="M14">
        <v>0</v>
      </c>
    </row>
    <row r="15" spans="1:13">
      <c r="A15" s="13">
        <v>44228</v>
      </c>
      <c r="B15">
        <v>469</v>
      </c>
      <c r="C15" t="s">
        <v>39</v>
      </c>
      <c r="D15" t="s">
        <v>26</v>
      </c>
      <c r="E15" s="13">
        <v>44228</v>
      </c>
      <c r="F15">
        <v>13</v>
      </c>
      <c r="G15">
        <v>468</v>
      </c>
      <c r="H15">
        <v>469</v>
      </c>
      <c r="I15">
        <v>0.2</v>
      </c>
      <c r="J15">
        <v>0</v>
      </c>
      <c r="K15">
        <v>100.2</v>
      </c>
      <c r="L15">
        <v>100</v>
      </c>
      <c r="M15">
        <v>0.21</v>
      </c>
    </row>
    <row r="16" spans="1:13">
      <c r="A16" s="13">
        <v>44256</v>
      </c>
      <c r="B16">
        <v>468</v>
      </c>
      <c r="C16" t="s">
        <v>39</v>
      </c>
      <c r="D16" t="s">
        <v>26</v>
      </c>
      <c r="E16" s="13">
        <v>44256</v>
      </c>
      <c r="F16">
        <v>14</v>
      </c>
      <c r="G16">
        <v>469</v>
      </c>
      <c r="H16">
        <v>470</v>
      </c>
      <c r="I16">
        <v>-0.2</v>
      </c>
      <c r="J16">
        <v>-0.4</v>
      </c>
      <c r="K16">
        <v>99.8</v>
      </c>
      <c r="L16">
        <v>99.6</v>
      </c>
      <c r="M16">
        <v>0</v>
      </c>
    </row>
    <row r="17" spans="1:13">
      <c r="A17" s="13">
        <v>44287</v>
      </c>
      <c r="B17">
        <v>468</v>
      </c>
      <c r="C17" t="s">
        <v>39</v>
      </c>
      <c r="D17" t="s">
        <v>26</v>
      </c>
      <c r="E17" s="13">
        <v>44287</v>
      </c>
      <c r="F17">
        <v>15</v>
      </c>
      <c r="G17">
        <v>468</v>
      </c>
      <c r="H17">
        <v>466</v>
      </c>
      <c r="I17">
        <v>0</v>
      </c>
      <c r="J17">
        <v>0.4</v>
      </c>
      <c r="K17">
        <v>100</v>
      </c>
      <c r="L17">
        <v>100.4</v>
      </c>
      <c r="M17">
        <v>0</v>
      </c>
    </row>
    <row r="18" spans="1:13">
      <c r="A18" s="13">
        <v>44317</v>
      </c>
      <c r="B18">
        <v>467</v>
      </c>
      <c r="C18" t="s">
        <v>39</v>
      </c>
      <c r="D18" t="s">
        <v>26</v>
      </c>
      <c r="E18" s="13">
        <v>44317</v>
      </c>
      <c r="F18">
        <v>16</v>
      </c>
      <c r="G18">
        <v>468</v>
      </c>
      <c r="H18">
        <v>465</v>
      </c>
      <c r="I18">
        <v>-0.2</v>
      </c>
      <c r="J18">
        <v>0.4</v>
      </c>
      <c r="K18">
        <v>99.8</v>
      </c>
      <c r="L18">
        <v>100.4</v>
      </c>
      <c r="M18">
        <v>-0.21</v>
      </c>
    </row>
    <row r="19" spans="1:13">
      <c r="A19" s="13">
        <v>44348</v>
      </c>
      <c r="B19">
        <v>467</v>
      </c>
      <c r="C19" t="s">
        <v>39</v>
      </c>
      <c r="D19" t="s">
        <v>26</v>
      </c>
      <c r="E19" s="13">
        <v>44348</v>
      </c>
      <c r="F19">
        <v>17</v>
      </c>
      <c r="G19">
        <v>467</v>
      </c>
      <c r="H19">
        <v>464</v>
      </c>
      <c r="I19">
        <v>0</v>
      </c>
      <c r="J19">
        <v>0.6</v>
      </c>
      <c r="K19">
        <v>100</v>
      </c>
      <c r="L19">
        <v>100.6</v>
      </c>
      <c r="M19">
        <v>-0.21</v>
      </c>
    </row>
    <row r="20" spans="1:13">
      <c r="A20" s="13">
        <v>44378</v>
      </c>
      <c r="B20">
        <v>468</v>
      </c>
      <c r="C20" t="s">
        <v>39</v>
      </c>
      <c r="D20" t="s">
        <v>26</v>
      </c>
      <c r="E20" s="13">
        <v>44378</v>
      </c>
      <c r="F20">
        <v>18</v>
      </c>
      <c r="G20">
        <v>467</v>
      </c>
      <c r="H20">
        <v>465</v>
      </c>
      <c r="I20">
        <v>0.2</v>
      </c>
      <c r="J20">
        <v>0.6</v>
      </c>
      <c r="K20">
        <v>100.2</v>
      </c>
      <c r="L20">
        <v>100.6</v>
      </c>
      <c r="M20">
        <v>0</v>
      </c>
    </row>
    <row r="21" spans="1:13">
      <c r="A21" s="13">
        <v>44409</v>
      </c>
      <c r="B21">
        <v>468</v>
      </c>
      <c r="C21" t="s">
        <v>39</v>
      </c>
      <c r="D21" t="s">
        <v>26</v>
      </c>
      <c r="E21" s="13">
        <v>44409</v>
      </c>
      <c r="F21">
        <v>19</v>
      </c>
      <c r="G21">
        <v>468</v>
      </c>
      <c r="H21">
        <v>466</v>
      </c>
      <c r="I21">
        <v>0</v>
      </c>
      <c r="J21">
        <v>0.4</v>
      </c>
      <c r="K21">
        <v>100</v>
      </c>
      <c r="L21">
        <v>100.4</v>
      </c>
      <c r="M21">
        <v>0</v>
      </c>
    </row>
    <row r="22" spans="1:13">
      <c r="A22" s="13">
        <v>44440</v>
      </c>
      <c r="B22">
        <v>467</v>
      </c>
      <c r="C22" t="s">
        <v>39</v>
      </c>
      <c r="D22" t="s">
        <v>26</v>
      </c>
      <c r="E22" s="13">
        <v>44440</v>
      </c>
      <c r="F22">
        <v>20</v>
      </c>
      <c r="G22">
        <v>468</v>
      </c>
      <c r="H22">
        <v>466</v>
      </c>
      <c r="I22">
        <v>-0.2</v>
      </c>
      <c r="J22">
        <v>0.2</v>
      </c>
      <c r="K22">
        <v>99.8</v>
      </c>
      <c r="L22">
        <v>100.2</v>
      </c>
      <c r="M22">
        <v>-0.21</v>
      </c>
    </row>
    <row r="23" spans="1:13">
      <c r="A23" s="13">
        <v>44470</v>
      </c>
      <c r="B23">
        <v>467</v>
      </c>
      <c r="C23" t="s">
        <v>39</v>
      </c>
      <c r="D23" t="s">
        <v>26</v>
      </c>
      <c r="E23" s="13">
        <v>44470</v>
      </c>
      <c r="F23">
        <v>21</v>
      </c>
      <c r="G23">
        <v>467</v>
      </c>
      <c r="H23">
        <v>469</v>
      </c>
      <c r="I23">
        <v>0</v>
      </c>
      <c r="J23">
        <v>-0.4</v>
      </c>
      <c r="K23">
        <v>100</v>
      </c>
      <c r="L23">
        <v>99.6</v>
      </c>
      <c r="M23">
        <v>-0.21</v>
      </c>
    </row>
    <row r="24" spans="1:13">
      <c r="A24" s="13">
        <v>44501</v>
      </c>
      <c r="B24">
        <v>467</v>
      </c>
      <c r="C24" t="s">
        <v>39</v>
      </c>
      <c r="D24" t="s">
        <v>26</v>
      </c>
      <c r="E24" s="13">
        <v>44501</v>
      </c>
      <c r="F24">
        <v>22</v>
      </c>
      <c r="G24">
        <v>467</v>
      </c>
      <c r="H24">
        <v>469</v>
      </c>
      <c r="I24">
        <v>0</v>
      </c>
      <c r="J24">
        <v>-0.4</v>
      </c>
      <c r="K24">
        <v>100</v>
      </c>
      <c r="L24">
        <v>99.6</v>
      </c>
      <c r="M24">
        <v>-0.21</v>
      </c>
    </row>
    <row r="25" spans="1:13">
      <c r="A25" s="13">
        <v>44531</v>
      </c>
      <c r="B25">
        <v>468</v>
      </c>
      <c r="C25" t="s">
        <v>39</v>
      </c>
      <c r="D25" t="s">
        <v>26</v>
      </c>
      <c r="E25" s="13">
        <v>44531</v>
      </c>
      <c r="F25">
        <v>23</v>
      </c>
      <c r="G25">
        <v>467</v>
      </c>
      <c r="H25">
        <v>469</v>
      </c>
      <c r="I25">
        <v>0.2</v>
      </c>
      <c r="J25">
        <v>-0.2</v>
      </c>
      <c r="K25">
        <v>100.2</v>
      </c>
      <c r="L25">
        <v>99.8</v>
      </c>
      <c r="M25">
        <v>0</v>
      </c>
    </row>
    <row r="26" spans="1:13">
      <c r="A26" s="13">
        <v>44562</v>
      </c>
      <c r="B26">
        <v>468</v>
      </c>
      <c r="C26" t="s">
        <v>39</v>
      </c>
      <c r="D26" t="s">
        <v>26</v>
      </c>
      <c r="E26" s="13">
        <v>44562</v>
      </c>
      <c r="F26">
        <v>24</v>
      </c>
      <c r="G26">
        <v>468</v>
      </c>
      <c r="H26">
        <v>468</v>
      </c>
      <c r="I26">
        <v>0</v>
      </c>
      <c r="J26">
        <v>0</v>
      </c>
      <c r="K26">
        <v>100</v>
      </c>
      <c r="L26">
        <v>100</v>
      </c>
      <c r="M26">
        <v>0</v>
      </c>
    </row>
    <row r="27" spans="1:13">
      <c r="A27" s="13">
        <v>44593</v>
      </c>
      <c r="B27">
        <v>469</v>
      </c>
      <c r="C27" t="s">
        <v>39</v>
      </c>
      <c r="D27" t="s">
        <v>26</v>
      </c>
      <c r="E27" s="13">
        <v>44593</v>
      </c>
      <c r="F27">
        <v>25</v>
      </c>
      <c r="G27">
        <v>468</v>
      </c>
      <c r="H27">
        <v>469</v>
      </c>
      <c r="I27">
        <v>0.2</v>
      </c>
      <c r="J27">
        <v>0</v>
      </c>
      <c r="K27">
        <v>100.2</v>
      </c>
      <c r="L27">
        <v>100</v>
      </c>
      <c r="M27">
        <v>0.21</v>
      </c>
    </row>
    <row r="28" spans="1:13">
      <c r="A28" s="13">
        <v>44621</v>
      </c>
      <c r="B28">
        <v>470</v>
      </c>
      <c r="C28" t="s">
        <v>39</v>
      </c>
      <c r="D28" t="s">
        <v>26</v>
      </c>
      <c r="E28" s="13">
        <v>44621</v>
      </c>
      <c r="F28">
        <v>26</v>
      </c>
      <c r="G28">
        <v>469</v>
      </c>
      <c r="H28">
        <v>468</v>
      </c>
      <c r="I28">
        <v>0.2</v>
      </c>
      <c r="J28">
        <v>0.4</v>
      </c>
      <c r="K28">
        <v>100.2</v>
      </c>
      <c r="L28">
        <v>100.4</v>
      </c>
      <c r="M28">
        <v>0.43</v>
      </c>
    </row>
    <row r="29" spans="1:13">
      <c r="A29" s="13">
        <v>44652</v>
      </c>
      <c r="B29">
        <v>471</v>
      </c>
      <c r="C29" t="s">
        <v>39</v>
      </c>
      <c r="D29" t="s">
        <v>26</v>
      </c>
      <c r="E29" s="13">
        <v>44652</v>
      </c>
      <c r="F29">
        <v>27</v>
      </c>
      <c r="G29">
        <v>470</v>
      </c>
      <c r="H29">
        <v>468</v>
      </c>
      <c r="I29">
        <v>0.2</v>
      </c>
      <c r="J29">
        <v>0.6</v>
      </c>
      <c r="K29">
        <v>100.2</v>
      </c>
      <c r="L29">
        <v>100.6</v>
      </c>
      <c r="M29">
        <v>0.64</v>
      </c>
    </row>
    <row r="30" spans="1:13">
      <c r="A30" s="13">
        <v>44682</v>
      </c>
      <c r="B30">
        <v>472</v>
      </c>
      <c r="C30" t="s">
        <v>39</v>
      </c>
      <c r="D30" t="s">
        <v>26</v>
      </c>
      <c r="E30" s="13">
        <v>44682</v>
      </c>
      <c r="F30">
        <v>28</v>
      </c>
      <c r="G30">
        <v>471</v>
      </c>
      <c r="H30">
        <v>467</v>
      </c>
      <c r="I30">
        <v>0.2</v>
      </c>
      <c r="J30">
        <v>1.0999999999999999</v>
      </c>
      <c r="K30">
        <v>100.2</v>
      </c>
      <c r="L30">
        <v>101.1</v>
      </c>
      <c r="M30">
        <v>0.85000000000000009</v>
      </c>
    </row>
    <row r="31" spans="1:13">
      <c r="A31" s="13">
        <v>44713</v>
      </c>
      <c r="B31">
        <v>473</v>
      </c>
      <c r="C31" t="s">
        <v>39</v>
      </c>
      <c r="D31" t="s">
        <v>26</v>
      </c>
      <c r="E31" s="13">
        <v>44713</v>
      </c>
      <c r="F31">
        <v>29</v>
      </c>
      <c r="G31">
        <v>472</v>
      </c>
      <c r="H31">
        <v>467</v>
      </c>
      <c r="I31">
        <v>0.2</v>
      </c>
      <c r="J31">
        <v>1.3</v>
      </c>
      <c r="K31">
        <v>100.2</v>
      </c>
      <c r="L31">
        <v>101.3</v>
      </c>
      <c r="M31">
        <v>1.0699999999999998</v>
      </c>
    </row>
    <row r="32" spans="1:13">
      <c r="A32" s="13">
        <v>44743</v>
      </c>
      <c r="B32">
        <v>474</v>
      </c>
      <c r="C32" t="s">
        <v>39</v>
      </c>
      <c r="D32" t="s">
        <v>26</v>
      </c>
      <c r="E32" s="13">
        <v>44743</v>
      </c>
      <c r="F32">
        <v>30</v>
      </c>
      <c r="G32">
        <v>473</v>
      </c>
      <c r="H32">
        <v>468</v>
      </c>
      <c r="I32">
        <v>0.2</v>
      </c>
      <c r="J32">
        <v>1.3</v>
      </c>
      <c r="K32">
        <v>100.2</v>
      </c>
      <c r="L32">
        <v>101.3</v>
      </c>
      <c r="M32">
        <v>1.28</v>
      </c>
    </row>
    <row r="33" spans="1:13">
      <c r="A33" s="13">
        <v>44774</v>
      </c>
      <c r="B33">
        <v>476</v>
      </c>
      <c r="C33" t="s">
        <v>39</v>
      </c>
      <c r="D33" t="s">
        <v>26</v>
      </c>
      <c r="E33" s="13">
        <v>44774</v>
      </c>
      <c r="F33">
        <v>31</v>
      </c>
      <c r="G33">
        <v>474</v>
      </c>
      <c r="H33">
        <v>468</v>
      </c>
      <c r="I33">
        <v>0.4</v>
      </c>
      <c r="J33">
        <v>1.7000000000000002</v>
      </c>
      <c r="K33">
        <v>100.4</v>
      </c>
      <c r="L33">
        <v>101.7</v>
      </c>
      <c r="M33">
        <v>1.71</v>
      </c>
    </row>
    <row r="34" spans="1:13">
      <c r="A34" s="13">
        <v>44805</v>
      </c>
      <c r="B34">
        <v>478</v>
      </c>
      <c r="C34" t="s">
        <v>39</v>
      </c>
      <c r="D34" t="s">
        <v>26</v>
      </c>
      <c r="E34" s="13">
        <v>44805</v>
      </c>
      <c r="F34">
        <v>32</v>
      </c>
      <c r="G34">
        <v>476</v>
      </c>
      <c r="H34">
        <v>467</v>
      </c>
      <c r="I34">
        <v>0.4</v>
      </c>
      <c r="J34">
        <v>2.4</v>
      </c>
      <c r="K34">
        <v>100.4</v>
      </c>
      <c r="L34">
        <v>102.4</v>
      </c>
      <c r="M34">
        <v>2.1399999999999997</v>
      </c>
    </row>
    <row r="35" spans="1:13">
      <c r="A35" s="13">
        <v>44835</v>
      </c>
      <c r="B35">
        <v>480</v>
      </c>
      <c r="C35" t="s">
        <v>39</v>
      </c>
      <c r="D35" t="s">
        <v>26</v>
      </c>
      <c r="E35" s="13">
        <v>44835</v>
      </c>
      <c r="F35">
        <v>33</v>
      </c>
      <c r="G35">
        <v>478</v>
      </c>
      <c r="H35">
        <v>467</v>
      </c>
      <c r="I35">
        <v>0.4</v>
      </c>
      <c r="J35">
        <v>2.8000000000000003</v>
      </c>
      <c r="K35">
        <v>100.4</v>
      </c>
      <c r="L35">
        <v>102.8</v>
      </c>
      <c r="M35">
        <v>2.56</v>
      </c>
    </row>
    <row r="36" spans="1:13">
      <c r="A36" s="13">
        <v>44866</v>
      </c>
      <c r="B36">
        <v>484</v>
      </c>
      <c r="C36" t="s">
        <v>39</v>
      </c>
      <c r="D36" t="s">
        <v>26</v>
      </c>
      <c r="E36" s="13">
        <v>44866</v>
      </c>
      <c r="F36">
        <v>34</v>
      </c>
      <c r="G36">
        <v>480</v>
      </c>
      <c r="H36">
        <v>467</v>
      </c>
      <c r="I36">
        <v>0.8</v>
      </c>
      <c r="J36">
        <v>3.5999999999999996</v>
      </c>
      <c r="K36">
        <v>100.8</v>
      </c>
      <c r="L36">
        <v>103.6</v>
      </c>
      <c r="M36">
        <v>3.42</v>
      </c>
    </row>
    <row r="37" spans="1:13">
      <c r="A37" s="13">
        <v>44896</v>
      </c>
      <c r="B37">
        <v>487</v>
      </c>
      <c r="C37" t="s">
        <v>39</v>
      </c>
      <c r="D37" t="s">
        <v>26</v>
      </c>
      <c r="E37" s="13">
        <v>44896</v>
      </c>
      <c r="F37">
        <v>35</v>
      </c>
      <c r="G37">
        <v>484</v>
      </c>
      <c r="H37">
        <v>468</v>
      </c>
      <c r="I37">
        <v>0.6</v>
      </c>
      <c r="J37">
        <v>4.1000000000000005</v>
      </c>
      <c r="K37">
        <v>100.6</v>
      </c>
      <c r="L37">
        <v>104.1</v>
      </c>
      <c r="M37">
        <v>4.0599999999999996</v>
      </c>
    </row>
    <row r="38" spans="1:13">
      <c r="A38" s="13">
        <v>44927</v>
      </c>
      <c r="B38">
        <v>490</v>
      </c>
      <c r="C38" t="s">
        <v>39</v>
      </c>
      <c r="D38" t="s">
        <v>26</v>
      </c>
      <c r="E38" s="13">
        <v>44927</v>
      </c>
      <c r="F38">
        <v>36</v>
      </c>
      <c r="G38">
        <v>487</v>
      </c>
      <c r="H38">
        <v>468</v>
      </c>
      <c r="I38">
        <v>0.6</v>
      </c>
      <c r="J38">
        <v>4.7</v>
      </c>
      <c r="K38">
        <v>100.6</v>
      </c>
      <c r="L38">
        <v>104.7</v>
      </c>
      <c r="M38">
        <v>0</v>
      </c>
    </row>
    <row r="39" spans="1:13">
      <c r="A39" s="13">
        <v>44958</v>
      </c>
      <c r="B39">
        <v>492</v>
      </c>
      <c r="C39" t="s">
        <v>39</v>
      </c>
      <c r="D39" t="s">
        <v>26</v>
      </c>
      <c r="E39" s="13">
        <v>44958</v>
      </c>
      <c r="F39">
        <v>37</v>
      </c>
      <c r="G39">
        <v>490</v>
      </c>
      <c r="H39">
        <v>469</v>
      </c>
      <c r="I39">
        <v>0.4</v>
      </c>
      <c r="J39">
        <v>4.9000000000000004</v>
      </c>
      <c r="K39">
        <v>100.4</v>
      </c>
      <c r="L39">
        <v>104.9</v>
      </c>
      <c r="M39">
        <v>0.41000000000000003</v>
      </c>
    </row>
    <row r="40" spans="1:13">
      <c r="A40" s="13">
        <v>44986</v>
      </c>
      <c r="B40">
        <v>494</v>
      </c>
      <c r="C40" t="s">
        <v>39</v>
      </c>
      <c r="D40" t="s">
        <v>26</v>
      </c>
      <c r="E40" s="13">
        <v>44986</v>
      </c>
      <c r="F40">
        <v>38</v>
      </c>
      <c r="G40">
        <v>492</v>
      </c>
      <c r="H40">
        <v>470</v>
      </c>
      <c r="I40">
        <v>0.4</v>
      </c>
      <c r="J40">
        <v>5.0999999999999996</v>
      </c>
      <c r="K40">
        <v>100.4</v>
      </c>
      <c r="L40">
        <v>105.1</v>
      </c>
      <c r="M40">
        <v>0.82000000000000006</v>
      </c>
    </row>
    <row r="41" spans="1:13">
      <c r="A41" s="13">
        <v>45017</v>
      </c>
      <c r="B41">
        <v>495</v>
      </c>
      <c r="C41" t="s">
        <v>39</v>
      </c>
      <c r="D41" t="s">
        <v>26</v>
      </c>
      <c r="E41" s="13">
        <v>45017</v>
      </c>
      <c r="F41">
        <v>39</v>
      </c>
      <c r="G41">
        <v>494</v>
      </c>
      <c r="H41">
        <v>471</v>
      </c>
      <c r="I41">
        <v>0.2</v>
      </c>
      <c r="J41">
        <v>5.0999999999999996</v>
      </c>
      <c r="K41">
        <v>100.2</v>
      </c>
      <c r="L41">
        <v>105.1</v>
      </c>
      <c r="M41">
        <v>1.02</v>
      </c>
    </row>
    <row r="42" spans="1:13">
      <c r="A42" s="13">
        <v>45047</v>
      </c>
      <c r="B42">
        <v>495</v>
      </c>
      <c r="C42" t="s">
        <v>39</v>
      </c>
      <c r="D42" t="s">
        <v>26</v>
      </c>
      <c r="E42" s="13">
        <v>45047</v>
      </c>
      <c r="F42">
        <v>40</v>
      </c>
      <c r="G42">
        <v>495</v>
      </c>
      <c r="H42">
        <v>472</v>
      </c>
      <c r="I42">
        <v>0</v>
      </c>
      <c r="J42">
        <v>4.9000000000000004</v>
      </c>
      <c r="K42">
        <v>100</v>
      </c>
      <c r="L42">
        <v>104.9</v>
      </c>
      <c r="M42">
        <v>1.02</v>
      </c>
    </row>
    <row r="43" spans="1:13">
      <c r="A43" s="13">
        <v>45078</v>
      </c>
      <c r="B43">
        <v>502</v>
      </c>
      <c r="C43" t="s">
        <v>39</v>
      </c>
      <c r="D43" t="s">
        <v>26</v>
      </c>
      <c r="E43" s="13">
        <v>45078</v>
      </c>
      <c r="F43">
        <v>41</v>
      </c>
      <c r="G43">
        <v>495</v>
      </c>
      <c r="H43">
        <v>473</v>
      </c>
      <c r="I43">
        <v>1.4000000000000001</v>
      </c>
      <c r="J43">
        <v>6.1</v>
      </c>
      <c r="K43">
        <v>101.4</v>
      </c>
      <c r="L43">
        <v>106.1</v>
      </c>
      <c r="M43">
        <v>2.4500000000000002</v>
      </c>
    </row>
    <row r="44" spans="1:13">
      <c r="A44" s="13">
        <v>45108</v>
      </c>
      <c r="B44">
        <v>502</v>
      </c>
      <c r="C44" t="s">
        <v>39</v>
      </c>
      <c r="D44" t="s">
        <v>26</v>
      </c>
      <c r="E44" s="13">
        <v>45108</v>
      </c>
      <c r="F44">
        <v>42</v>
      </c>
      <c r="G44">
        <v>502</v>
      </c>
      <c r="H44">
        <v>474</v>
      </c>
      <c r="I44">
        <v>0</v>
      </c>
      <c r="J44">
        <v>5.8999999999999995</v>
      </c>
      <c r="K44">
        <v>100</v>
      </c>
      <c r="L44">
        <v>105.9</v>
      </c>
      <c r="M44">
        <v>2.4500000000000002</v>
      </c>
    </row>
    <row r="45" spans="1:13">
      <c r="A45" s="13">
        <v>45139</v>
      </c>
      <c r="B45">
        <v>501</v>
      </c>
      <c r="C45" t="s">
        <v>39</v>
      </c>
      <c r="D45" t="s">
        <v>26</v>
      </c>
      <c r="E45" s="13">
        <v>45139</v>
      </c>
      <c r="F45">
        <v>43</v>
      </c>
      <c r="G45">
        <v>502</v>
      </c>
      <c r="H45">
        <v>476</v>
      </c>
      <c r="I45">
        <v>-0.2</v>
      </c>
      <c r="J45">
        <v>5.3</v>
      </c>
      <c r="K45">
        <v>99.8</v>
      </c>
      <c r="L45">
        <v>105.3</v>
      </c>
      <c r="M45">
        <v>2.2399999999999998</v>
      </c>
    </row>
    <row r="46" spans="1:13">
      <c r="A46" s="13">
        <v>45170</v>
      </c>
      <c r="B46">
        <v>503</v>
      </c>
      <c r="C46" t="s">
        <v>39</v>
      </c>
      <c r="D46" t="s">
        <v>26</v>
      </c>
      <c r="E46" s="13">
        <v>45170</v>
      </c>
      <c r="F46">
        <v>44</v>
      </c>
      <c r="G46">
        <v>501</v>
      </c>
      <c r="H46">
        <v>478</v>
      </c>
      <c r="I46">
        <v>0.4</v>
      </c>
      <c r="J46">
        <v>5.2</v>
      </c>
      <c r="K46">
        <v>100.4</v>
      </c>
      <c r="L46">
        <v>105.2</v>
      </c>
      <c r="M46">
        <v>2.65</v>
      </c>
    </row>
    <row r="47" spans="1:13">
      <c r="A47" s="13">
        <v>45200</v>
      </c>
      <c r="B47">
        <v>503</v>
      </c>
      <c r="C47" t="s">
        <v>39</v>
      </c>
      <c r="D47" t="s">
        <v>26</v>
      </c>
      <c r="E47" s="13">
        <v>45200</v>
      </c>
      <c r="F47">
        <v>45</v>
      </c>
      <c r="G47">
        <v>503</v>
      </c>
      <c r="H47">
        <v>480</v>
      </c>
      <c r="I47">
        <v>0</v>
      </c>
      <c r="J47">
        <v>4.8</v>
      </c>
      <c r="K47">
        <v>100</v>
      </c>
      <c r="L47">
        <v>104.8</v>
      </c>
      <c r="M47">
        <v>2.65</v>
      </c>
    </row>
    <row r="48" spans="1:13">
      <c r="A48" s="13">
        <v>45231</v>
      </c>
      <c r="B48">
        <v>504</v>
      </c>
      <c r="C48" t="s">
        <v>39</v>
      </c>
      <c r="D48" t="s">
        <v>26</v>
      </c>
      <c r="E48" s="13">
        <v>45231</v>
      </c>
      <c r="F48">
        <v>46</v>
      </c>
      <c r="G48">
        <v>503</v>
      </c>
      <c r="H48">
        <v>484</v>
      </c>
      <c r="I48">
        <v>0.2</v>
      </c>
      <c r="J48">
        <v>4.1000000000000005</v>
      </c>
      <c r="K48">
        <v>100.2</v>
      </c>
      <c r="L48">
        <v>104.1</v>
      </c>
      <c r="M48">
        <v>2.86</v>
      </c>
    </row>
    <row r="49" spans="1:13">
      <c r="A49" s="13">
        <v>45261</v>
      </c>
      <c r="B49">
        <v>503</v>
      </c>
      <c r="C49" t="s">
        <v>39</v>
      </c>
      <c r="D49" t="s">
        <v>26</v>
      </c>
      <c r="E49" s="13">
        <v>45261</v>
      </c>
      <c r="F49">
        <v>47</v>
      </c>
      <c r="G49">
        <v>504</v>
      </c>
      <c r="H49">
        <v>487</v>
      </c>
      <c r="I49">
        <v>-0.2</v>
      </c>
      <c r="J49">
        <v>3.3000000000000003</v>
      </c>
      <c r="K49">
        <v>99.8</v>
      </c>
      <c r="L49">
        <v>103.3</v>
      </c>
      <c r="M49">
        <v>2.65</v>
      </c>
    </row>
    <row r="50" spans="1:13">
      <c r="A50" s="13">
        <v>45292</v>
      </c>
      <c r="B50">
        <v>504</v>
      </c>
      <c r="C50" t="s">
        <v>39</v>
      </c>
      <c r="D50" t="s">
        <v>26</v>
      </c>
      <c r="E50" s="13">
        <v>45292</v>
      </c>
      <c r="F50">
        <v>48</v>
      </c>
      <c r="G50">
        <v>503</v>
      </c>
      <c r="H50">
        <v>490</v>
      </c>
      <c r="I50">
        <v>0.2</v>
      </c>
      <c r="J50">
        <v>2.9000000000000004</v>
      </c>
      <c r="K50">
        <v>100.2</v>
      </c>
      <c r="L50">
        <v>102.9</v>
      </c>
      <c r="M50">
        <v>0</v>
      </c>
    </row>
    <row r="51" spans="1:13">
      <c r="A51" s="13">
        <v>45323</v>
      </c>
      <c r="B51">
        <v>504</v>
      </c>
      <c r="C51" t="s">
        <v>39</v>
      </c>
      <c r="D51" t="s">
        <v>26</v>
      </c>
      <c r="E51" s="13">
        <v>45323</v>
      </c>
      <c r="F51">
        <v>49</v>
      </c>
      <c r="G51">
        <v>504</v>
      </c>
      <c r="H51">
        <v>492</v>
      </c>
      <c r="I51">
        <v>0</v>
      </c>
      <c r="J51">
        <v>2.4</v>
      </c>
      <c r="K51">
        <v>100</v>
      </c>
      <c r="L51">
        <v>102.4</v>
      </c>
      <c r="M51">
        <v>0</v>
      </c>
    </row>
    <row r="52" spans="1:13">
      <c r="A52" s="13">
        <v>45352</v>
      </c>
      <c r="B52">
        <v>506</v>
      </c>
      <c r="C52" t="s">
        <v>39</v>
      </c>
      <c r="D52" t="s">
        <v>26</v>
      </c>
      <c r="E52" s="13">
        <v>45352</v>
      </c>
      <c r="F52">
        <v>50</v>
      </c>
      <c r="G52">
        <v>504</v>
      </c>
      <c r="H52">
        <v>494</v>
      </c>
      <c r="I52">
        <v>0.4</v>
      </c>
      <c r="J52">
        <v>2.4</v>
      </c>
      <c r="K52">
        <v>100.4</v>
      </c>
      <c r="L52">
        <v>102.4</v>
      </c>
      <c r="M52">
        <v>0.4</v>
      </c>
    </row>
    <row r="53" spans="1:13">
      <c r="A53" s="13">
        <v>45383</v>
      </c>
      <c r="B53">
        <v>505</v>
      </c>
      <c r="C53" t="s">
        <v>39</v>
      </c>
      <c r="D53" t="s">
        <v>26</v>
      </c>
      <c r="E53" s="13">
        <v>45383</v>
      </c>
      <c r="F53">
        <v>51</v>
      </c>
      <c r="G53">
        <v>506</v>
      </c>
      <c r="H53">
        <v>495</v>
      </c>
      <c r="I53">
        <v>-0.2</v>
      </c>
      <c r="J53">
        <v>2</v>
      </c>
      <c r="K53">
        <v>99.8</v>
      </c>
      <c r="L53">
        <v>102</v>
      </c>
      <c r="M53">
        <v>0.2</v>
      </c>
    </row>
    <row r="54" spans="1:13">
      <c r="A54" s="13">
        <v>45413</v>
      </c>
      <c r="B54">
        <v>506</v>
      </c>
      <c r="C54" t="s">
        <v>39</v>
      </c>
      <c r="D54" t="s">
        <v>26</v>
      </c>
      <c r="E54" s="13">
        <v>45413</v>
      </c>
      <c r="F54">
        <v>52</v>
      </c>
      <c r="G54">
        <v>505</v>
      </c>
      <c r="H54">
        <v>495</v>
      </c>
      <c r="I54">
        <v>0.2</v>
      </c>
      <c r="J54">
        <v>2.1999999999999997</v>
      </c>
      <c r="K54">
        <v>100.2</v>
      </c>
      <c r="L54">
        <v>102.2</v>
      </c>
      <c r="M54">
        <v>0.4</v>
      </c>
    </row>
    <row r="55" spans="1:13">
      <c r="A55" s="13">
        <v>45444</v>
      </c>
      <c r="B55">
        <v>505</v>
      </c>
      <c r="C55" t="s">
        <v>39</v>
      </c>
      <c r="D55" t="s">
        <v>26</v>
      </c>
      <c r="E55" s="13">
        <v>45444</v>
      </c>
      <c r="F55">
        <v>53</v>
      </c>
      <c r="G55">
        <v>506</v>
      </c>
      <c r="H55">
        <v>502</v>
      </c>
      <c r="I55">
        <v>-0.2</v>
      </c>
      <c r="J55">
        <v>0.6</v>
      </c>
      <c r="K55">
        <v>99.8</v>
      </c>
      <c r="L55">
        <v>100.6</v>
      </c>
      <c r="M55">
        <v>0.2</v>
      </c>
    </row>
    <row r="56" spans="1:13">
      <c r="A56" s="13">
        <v>45474</v>
      </c>
      <c r="B56">
        <v>506</v>
      </c>
      <c r="C56" t="s">
        <v>39</v>
      </c>
      <c r="D56" t="s">
        <v>26</v>
      </c>
      <c r="E56" s="13">
        <v>45474</v>
      </c>
      <c r="F56">
        <v>54</v>
      </c>
      <c r="G56">
        <v>505</v>
      </c>
      <c r="H56">
        <v>502</v>
      </c>
      <c r="I56">
        <v>0.2</v>
      </c>
      <c r="J56">
        <v>0.8</v>
      </c>
      <c r="K56">
        <v>100.2</v>
      </c>
      <c r="L56">
        <v>100.8</v>
      </c>
      <c r="M56">
        <v>0.4</v>
      </c>
    </row>
    <row r="57" spans="1:13">
      <c r="A57" s="13">
        <v>45505</v>
      </c>
      <c r="B57">
        <v>509</v>
      </c>
      <c r="C57" t="s">
        <v>39</v>
      </c>
      <c r="D57" t="s">
        <v>26</v>
      </c>
      <c r="E57" s="13">
        <v>45505</v>
      </c>
      <c r="F57">
        <v>55</v>
      </c>
      <c r="G57">
        <v>506</v>
      </c>
      <c r="H57">
        <v>501</v>
      </c>
      <c r="I57">
        <v>0.6</v>
      </c>
      <c r="J57">
        <v>1.6</v>
      </c>
      <c r="K57">
        <v>100.6</v>
      </c>
      <c r="L57">
        <v>101.6</v>
      </c>
      <c r="M57">
        <v>0.9900000000000001</v>
      </c>
    </row>
    <row r="58" spans="1:13">
      <c r="A58" s="13">
        <v>45536</v>
      </c>
      <c r="B58">
        <v>511</v>
      </c>
      <c r="C58" t="s">
        <v>39</v>
      </c>
      <c r="D58" t="s">
        <v>26</v>
      </c>
      <c r="E58" s="13">
        <v>45536</v>
      </c>
      <c r="F58">
        <v>56</v>
      </c>
      <c r="G58">
        <v>509</v>
      </c>
      <c r="H58">
        <v>503</v>
      </c>
      <c r="I58">
        <v>0.4</v>
      </c>
      <c r="J58">
        <v>1.6</v>
      </c>
      <c r="K58">
        <v>100.4</v>
      </c>
      <c r="L58">
        <v>101.6</v>
      </c>
      <c r="M58">
        <v>1.39</v>
      </c>
    </row>
    <row r="59" spans="1:13">
      <c r="A59" s="13">
        <v>45566</v>
      </c>
      <c r="B59">
        <v>513</v>
      </c>
      <c r="C59" t="s">
        <v>39</v>
      </c>
      <c r="D59" t="s">
        <v>26</v>
      </c>
      <c r="E59" s="13">
        <v>45566</v>
      </c>
      <c r="F59">
        <v>57</v>
      </c>
      <c r="G59">
        <v>511</v>
      </c>
      <c r="H59">
        <v>503</v>
      </c>
      <c r="I59">
        <v>0.4</v>
      </c>
      <c r="J59">
        <v>2</v>
      </c>
      <c r="K59">
        <v>100.4</v>
      </c>
      <c r="L59">
        <v>102</v>
      </c>
      <c r="M59">
        <v>1.79</v>
      </c>
    </row>
    <row r="60" spans="1:13">
      <c r="A60" s="13">
        <v>45597</v>
      </c>
      <c r="B60">
        <v>513</v>
      </c>
      <c r="C60" t="s">
        <v>39</v>
      </c>
      <c r="D60" t="s">
        <v>26</v>
      </c>
      <c r="E60" s="13">
        <v>45597</v>
      </c>
      <c r="F60">
        <v>58</v>
      </c>
      <c r="G60">
        <v>513</v>
      </c>
      <c r="H60">
        <v>504</v>
      </c>
      <c r="I60">
        <v>0</v>
      </c>
      <c r="J60">
        <v>1.7999999999999998</v>
      </c>
      <c r="K60">
        <v>100</v>
      </c>
      <c r="L60">
        <v>101.8</v>
      </c>
      <c r="M60">
        <v>1.79</v>
      </c>
    </row>
    <row r="61" spans="1:13">
      <c r="A61" s="13">
        <v>45627</v>
      </c>
      <c r="B61">
        <v>516</v>
      </c>
      <c r="C61" t="s">
        <v>39</v>
      </c>
      <c r="D61" t="s">
        <v>26</v>
      </c>
      <c r="E61" s="13">
        <v>45627</v>
      </c>
      <c r="F61">
        <v>59</v>
      </c>
      <c r="G61">
        <v>513</v>
      </c>
      <c r="H61">
        <v>503</v>
      </c>
      <c r="I61">
        <v>0.6</v>
      </c>
      <c r="J61">
        <v>2.6</v>
      </c>
      <c r="K61">
        <v>100.6</v>
      </c>
      <c r="L61">
        <v>102.6</v>
      </c>
      <c r="M61">
        <v>2.3800000000000003</v>
      </c>
    </row>
    <row r="62" spans="1:13">
      <c r="A62" s="13">
        <v>45658</v>
      </c>
      <c r="B62">
        <v>518</v>
      </c>
      <c r="C62" t="s">
        <v>39</v>
      </c>
      <c r="D62" t="s">
        <v>26</v>
      </c>
      <c r="E62" s="13">
        <v>45658</v>
      </c>
      <c r="F62">
        <v>60</v>
      </c>
      <c r="G62">
        <v>516</v>
      </c>
      <c r="H62">
        <v>504</v>
      </c>
      <c r="I62">
        <v>0.4</v>
      </c>
      <c r="J62">
        <v>2.8000000000000003</v>
      </c>
      <c r="K62">
        <v>100.4</v>
      </c>
      <c r="L62">
        <v>102.8</v>
      </c>
      <c r="M62">
        <v>0</v>
      </c>
    </row>
    <row r="63" spans="1:13">
      <c r="A63" s="13">
        <v>45689</v>
      </c>
      <c r="B63">
        <v>517</v>
      </c>
      <c r="C63" t="s">
        <v>39</v>
      </c>
      <c r="D63" t="s">
        <v>26</v>
      </c>
      <c r="E63" s="13">
        <v>45689</v>
      </c>
      <c r="F63">
        <v>61</v>
      </c>
      <c r="G63">
        <v>518</v>
      </c>
      <c r="H63">
        <v>504</v>
      </c>
      <c r="I63">
        <v>-0.2</v>
      </c>
      <c r="J63">
        <v>2.6</v>
      </c>
      <c r="K63">
        <v>99.8</v>
      </c>
      <c r="L63">
        <v>102.6</v>
      </c>
      <c r="M63">
        <v>-0.19</v>
      </c>
    </row>
    <row r="64" spans="1:13">
      <c r="A64" s="13">
        <v>45717</v>
      </c>
      <c r="B64">
        <v>518</v>
      </c>
      <c r="C64" t="s">
        <v>39</v>
      </c>
      <c r="D64" t="s">
        <v>26</v>
      </c>
      <c r="E64" s="13">
        <v>45717</v>
      </c>
      <c r="F64">
        <v>62</v>
      </c>
      <c r="G64">
        <v>517</v>
      </c>
      <c r="H64">
        <v>506</v>
      </c>
      <c r="I64">
        <v>0.2</v>
      </c>
      <c r="J64">
        <v>2.4</v>
      </c>
      <c r="K64">
        <v>100.2</v>
      </c>
      <c r="L64">
        <v>102.4</v>
      </c>
      <c r="M64">
        <v>0</v>
      </c>
    </row>
    <row r="65" spans="1:13">
      <c r="A65" s="13">
        <v>45748</v>
      </c>
      <c r="B65">
        <v>518</v>
      </c>
      <c r="C65" t="s">
        <v>39</v>
      </c>
      <c r="D65" t="s">
        <v>26</v>
      </c>
      <c r="E65" s="13">
        <v>45748</v>
      </c>
      <c r="F65">
        <v>63</v>
      </c>
      <c r="G65">
        <v>518</v>
      </c>
      <c r="H65">
        <v>505</v>
      </c>
      <c r="I65">
        <v>0</v>
      </c>
      <c r="J65">
        <v>2.6</v>
      </c>
      <c r="K65">
        <v>100</v>
      </c>
      <c r="L65">
        <v>102.6</v>
      </c>
      <c r="M65">
        <v>0</v>
      </c>
    </row>
    <row r="66" spans="1:13">
      <c r="A66" s="13">
        <v>45778</v>
      </c>
      <c r="B66">
        <v>518</v>
      </c>
      <c r="C66" t="s">
        <v>39</v>
      </c>
      <c r="D66" t="s">
        <v>26</v>
      </c>
      <c r="E66" s="13">
        <v>45778</v>
      </c>
      <c r="F66">
        <v>64</v>
      </c>
      <c r="G66">
        <v>518</v>
      </c>
      <c r="H66">
        <v>506</v>
      </c>
      <c r="I66">
        <v>0</v>
      </c>
      <c r="J66">
        <v>2.4</v>
      </c>
      <c r="K66">
        <v>100</v>
      </c>
      <c r="L66">
        <v>102.4</v>
      </c>
      <c r="M66">
        <v>0</v>
      </c>
    </row>
    <row r="67" spans="1:13">
      <c r="A67" s="13">
        <v>45809</v>
      </c>
      <c r="B67">
        <v>519</v>
      </c>
      <c r="C67" t="s">
        <v>39</v>
      </c>
      <c r="D67" t="s">
        <v>26</v>
      </c>
      <c r="E67" s="13">
        <v>45809</v>
      </c>
      <c r="F67">
        <v>65</v>
      </c>
      <c r="G67">
        <v>518</v>
      </c>
      <c r="H67">
        <v>505</v>
      </c>
      <c r="I67">
        <v>0.2</v>
      </c>
      <c r="J67">
        <v>2.8000000000000003</v>
      </c>
      <c r="K67">
        <v>100.2</v>
      </c>
      <c r="L67">
        <v>102.8</v>
      </c>
      <c r="M67">
        <v>0.19</v>
      </c>
    </row>
    <row r="68" spans="1:13">
      <c r="A68" s="13">
        <v>45839</v>
      </c>
      <c r="B68">
        <v>519</v>
      </c>
      <c r="C68" t="s">
        <v>39</v>
      </c>
      <c r="D68" t="s">
        <v>26</v>
      </c>
      <c r="E68" s="13">
        <v>45839</v>
      </c>
      <c r="F68">
        <v>66</v>
      </c>
      <c r="G68">
        <v>519</v>
      </c>
      <c r="H68">
        <v>506</v>
      </c>
      <c r="I68">
        <v>0</v>
      </c>
      <c r="J68">
        <v>2.6</v>
      </c>
      <c r="K68">
        <v>100</v>
      </c>
      <c r="L68">
        <v>102.6</v>
      </c>
      <c r="M68">
        <v>0.19</v>
      </c>
    </row>
    <row r="69" spans="1:13">
      <c r="A69" s="13">
        <v>45870</v>
      </c>
      <c r="B69">
        <v>520</v>
      </c>
      <c r="C69" t="s">
        <v>39</v>
      </c>
      <c r="D69" t="s">
        <v>26</v>
      </c>
      <c r="E69" s="13">
        <v>45870</v>
      </c>
      <c r="F69">
        <v>67</v>
      </c>
      <c r="G69">
        <v>519</v>
      </c>
      <c r="H69">
        <v>509</v>
      </c>
      <c r="I69">
        <v>0.2</v>
      </c>
      <c r="J69">
        <v>2.1999999999999997</v>
      </c>
      <c r="K69">
        <v>100.2</v>
      </c>
      <c r="L69">
        <v>102.2</v>
      </c>
      <c r="M69">
        <v>0.38999999999999996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ACA72-8BFE-AE41-A63E-49ECCE7478F1}">
  <dimension ref="A1:E24"/>
  <sheetViews>
    <sheetView workbookViewId="0">
      <selection activeCell="G17" sqref="G17"/>
    </sheetView>
  </sheetViews>
  <sheetFormatPr baseColWidth="10" defaultRowHeight="28"/>
  <cols>
    <col min="1" max="1" width="10.58203125" style="11"/>
    <col min="2" max="2" width="10.58203125" style="12"/>
    <col min="4" max="5" width="15.58203125" customWidth="1"/>
  </cols>
  <sheetData>
    <row r="1" spans="1:5">
      <c r="A1" s="11" t="s">
        <v>19</v>
      </c>
      <c r="B1" s="12" t="s">
        <v>21</v>
      </c>
      <c r="C1" t="s">
        <v>25</v>
      </c>
      <c r="D1" t="s">
        <v>23</v>
      </c>
      <c r="E1" s="10" t="s">
        <v>31</v>
      </c>
    </row>
    <row r="2" spans="1:5">
      <c r="A2" s="11">
        <v>43831</v>
      </c>
      <c r="B2" s="12">
        <v>54914</v>
      </c>
      <c r="C2" t="s">
        <v>29</v>
      </c>
      <c r="D2" t="s">
        <v>27</v>
      </c>
      <c r="E2" s="10">
        <v>43831</v>
      </c>
    </row>
    <row r="3" spans="1:5">
      <c r="A3" s="11">
        <v>45292</v>
      </c>
      <c r="B3" s="14">
        <v>63948</v>
      </c>
      <c r="C3" t="s">
        <v>29</v>
      </c>
      <c r="D3" t="s">
        <v>27</v>
      </c>
      <c r="E3" s="10">
        <v>45292</v>
      </c>
    </row>
    <row r="4" spans="1:5">
      <c r="A4" s="11">
        <v>45323</v>
      </c>
      <c r="B4" s="14">
        <v>65093</v>
      </c>
      <c r="C4" t="s">
        <v>29</v>
      </c>
      <c r="D4" t="s">
        <v>27</v>
      </c>
      <c r="E4" s="10">
        <v>45323</v>
      </c>
    </row>
    <row r="5" spans="1:5">
      <c r="A5" s="11">
        <v>45352</v>
      </c>
      <c r="B5" s="14">
        <v>63948</v>
      </c>
      <c r="C5" t="s">
        <v>29</v>
      </c>
      <c r="D5" t="s">
        <v>27</v>
      </c>
      <c r="E5" s="10">
        <v>45352</v>
      </c>
    </row>
    <row r="6" spans="1:5">
      <c r="A6" s="11">
        <v>45383</v>
      </c>
      <c r="B6" s="14">
        <v>63001</v>
      </c>
      <c r="C6" t="s">
        <v>29</v>
      </c>
      <c r="D6" t="s">
        <v>27</v>
      </c>
      <c r="E6" s="10">
        <v>45383</v>
      </c>
    </row>
    <row r="7" spans="1:5">
      <c r="A7" s="11">
        <v>45413</v>
      </c>
      <c r="B7" s="14">
        <v>62221</v>
      </c>
      <c r="C7" t="s">
        <v>29</v>
      </c>
      <c r="D7" t="s">
        <v>27</v>
      </c>
      <c r="E7" s="10">
        <v>45413</v>
      </c>
    </row>
    <row r="8" spans="1:5">
      <c r="A8" s="11">
        <v>45444</v>
      </c>
      <c r="B8" s="14">
        <v>62093</v>
      </c>
      <c r="C8" t="s">
        <v>29</v>
      </c>
      <c r="D8" t="s">
        <v>27</v>
      </c>
      <c r="E8" s="10">
        <v>45444</v>
      </c>
    </row>
    <row r="9" spans="1:5">
      <c r="A9" s="11">
        <v>45474</v>
      </c>
      <c r="B9" s="14">
        <v>61715</v>
      </c>
      <c r="C9" t="s">
        <v>29</v>
      </c>
      <c r="D9" t="s">
        <v>27</v>
      </c>
      <c r="E9" s="10">
        <v>45474</v>
      </c>
    </row>
    <row r="10" spans="1:5">
      <c r="A10" s="11">
        <v>45505</v>
      </c>
      <c r="B10" s="14">
        <v>61323</v>
      </c>
      <c r="C10" t="s">
        <v>29</v>
      </c>
      <c r="D10" t="s">
        <v>27</v>
      </c>
      <c r="E10" s="10">
        <v>45505</v>
      </c>
    </row>
    <row r="11" spans="1:5">
      <c r="A11" s="11">
        <v>45536</v>
      </c>
      <c r="B11" s="14">
        <v>59852</v>
      </c>
      <c r="C11" t="s">
        <v>29</v>
      </c>
      <c r="D11" t="s">
        <v>27</v>
      </c>
      <c r="E11" s="10">
        <v>45536</v>
      </c>
    </row>
    <row r="12" spans="1:5">
      <c r="A12" s="11">
        <v>45566</v>
      </c>
      <c r="B12" s="14">
        <v>59148</v>
      </c>
      <c r="C12" t="s">
        <v>29</v>
      </c>
      <c r="D12" t="s">
        <v>27</v>
      </c>
      <c r="E12" s="10">
        <v>45566</v>
      </c>
    </row>
    <row r="13" spans="1:5">
      <c r="A13" s="11">
        <v>45597</v>
      </c>
      <c r="B13" s="14">
        <v>58256</v>
      </c>
      <c r="C13" t="s">
        <v>29</v>
      </c>
      <c r="D13" t="s">
        <v>27</v>
      </c>
      <c r="E13" s="10">
        <v>45597</v>
      </c>
    </row>
    <row r="14" spans="1:5">
      <c r="A14" s="11">
        <v>45627</v>
      </c>
      <c r="B14" s="14">
        <v>58499</v>
      </c>
      <c r="C14" t="s">
        <v>29</v>
      </c>
      <c r="D14" t="s">
        <v>27</v>
      </c>
      <c r="E14" s="10">
        <v>45627</v>
      </c>
    </row>
    <row r="15" spans="1:5">
      <c r="A15" s="11">
        <v>45658</v>
      </c>
      <c r="B15" s="14">
        <v>58518</v>
      </c>
      <c r="C15" t="s">
        <v>29</v>
      </c>
      <c r="D15" t="s">
        <v>27</v>
      </c>
      <c r="E15" s="10">
        <v>45658</v>
      </c>
    </row>
    <row r="16" spans="1:5">
      <c r="A16" s="11">
        <v>45689</v>
      </c>
      <c r="B16" s="14">
        <v>59245</v>
      </c>
      <c r="C16" t="s">
        <v>29</v>
      </c>
      <c r="D16" t="s">
        <v>27</v>
      </c>
      <c r="E16" s="10">
        <v>45689</v>
      </c>
    </row>
    <row r="17" spans="1:5">
      <c r="A17" s="11">
        <v>45717</v>
      </c>
      <c r="B17" s="14">
        <v>58586</v>
      </c>
      <c r="C17" t="s">
        <v>29</v>
      </c>
      <c r="D17" t="s">
        <v>27</v>
      </c>
      <c r="E17" s="10">
        <v>45717</v>
      </c>
    </row>
    <row r="18" spans="1:5">
      <c r="A18" s="11">
        <v>45748</v>
      </c>
      <c r="B18" s="14">
        <v>57856</v>
      </c>
      <c r="C18" t="s">
        <v>29</v>
      </c>
      <c r="D18" t="s">
        <v>27</v>
      </c>
      <c r="E18" s="10">
        <v>45748</v>
      </c>
    </row>
    <row r="19" spans="1:5">
      <c r="A19" s="11">
        <v>45778</v>
      </c>
      <c r="B19" s="14">
        <v>57823</v>
      </c>
      <c r="C19" t="s">
        <v>29</v>
      </c>
      <c r="D19" t="s">
        <v>27</v>
      </c>
      <c r="E19" s="10">
        <v>45778</v>
      </c>
    </row>
    <row r="20" spans="1:5">
      <c r="A20" s="11">
        <v>45809</v>
      </c>
      <c r="B20" s="14">
        <v>56960</v>
      </c>
      <c r="C20" t="s">
        <v>29</v>
      </c>
      <c r="D20" t="s">
        <v>27</v>
      </c>
      <c r="E20" s="10">
        <v>45809</v>
      </c>
    </row>
    <row r="21" spans="1:5">
      <c r="A21" s="11">
        <v>45839</v>
      </c>
      <c r="B21" s="14">
        <v>55836</v>
      </c>
      <c r="C21" t="s">
        <v>29</v>
      </c>
      <c r="D21" t="s">
        <v>27</v>
      </c>
      <c r="E21" s="10">
        <v>45839</v>
      </c>
    </row>
    <row r="22" spans="1:5">
      <c r="A22" s="11">
        <v>45870</v>
      </c>
      <c r="B22" s="14">
        <v>55407</v>
      </c>
      <c r="C22" t="s">
        <v>29</v>
      </c>
      <c r="D22" t="s">
        <v>27</v>
      </c>
      <c r="E22" s="10">
        <v>45870</v>
      </c>
    </row>
    <row r="23" spans="1:5">
      <c r="A23" s="11">
        <v>45901</v>
      </c>
      <c r="B23" s="14">
        <v>54812</v>
      </c>
      <c r="C23" t="s">
        <v>29</v>
      </c>
      <c r="D23" t="s">
        <v>27</v>
      </c>
      <c r="E23" s="10">
        <v>45901</v>
      </c>
    </row>
    <row r="24" spans="1:5">
      <c r="A24" s="11">
        <v>45941</v>
      </c>
      <c r="B24" s="14">
        <v>54582</v>
      </c>
      <c r="C24" t="s">
        <v>29</v>
      </c>
      <c r="D24" t="s">
        <v>27</v>
      </c>
      <c r="E24" s="10">
        <v>45931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1C2C8-E9AB-B94B-942F-9219AC52EAE5}">
  <dimension ref="A1:E69"/>
  <sheetViews>
    <sheetView zoomScale="85" workbookViewId="0">
      <selection activeCell="C6" sqref="A1:E69"/>
    </sheetView>
  </sheetViews>
  <sheetFormatPr baseColWidth="10" defaultRowHeight="28"/>
  <cols>
    <col min="1" max="1" width="10.58203125" style="11"/>
    <col min="2" max="2" width="10.58203125" style="14"/>
    <col min="4" max="5" width="15.58203125" customWidth="1"/>
  </cols>
  <sheetData>
    <row r="1" spans="1:5">
      <c r="A1" s="11" t="s">
        <v>19</v>
      </c>
      <c r="B1" s="14" t="s">
        <v>21</v>
      </c>
      <c r="C1" t="s">
        <v>25</v>
      </c>
      <c r="D1" t="s">
        <v>23</v>
      </c>
      <c r="E1" s="10" t="s">
        <v>31</v>
      </c>
    </row>
    <row r="2" spans="1:5">
      <c r="A2" s="11">
        <v>43831</v>
      </c>
      <c r="B2" s="15">
        <v>379.7</v>
      </c>
      <c r="C2" t="s">
        <v>32</v>
      </c>
      <c r="D2" t="s">
        <v>27</v>
      </c>
      <c r="E2" s="11">
        <v>43831</v>
      </c>
    </row>
    <row r="3" spans="1:5">
      <c r="A3" s="11">
        <v>43862</v>
      </c>
      <c r="B3" s="15">
        <v>373.4</v>
      </c>
      <c r="C3" t="s">
        <v>32</v>
      </c>
      <c r="D3" t="s">
        <v>27</v>
      </c>
      <c r="E3" s="11">
        <v>43862</v>
      </c>
    </row>
    <row r="4" spans="1:5">
      <c r="A4" s="11">
        <v>43891</v>
      </c>
      <c r="B4" s="15">
        <v>378.4</v>
      </c>
      <c r="C4" t="s">
        <v>32</v>
      </c>
      <c r="D4" t="s">
        <v>27</v>
      </c>
      <c r="E4" s="11">
        <v>43891</v>
      </c>
    </row>
    <row r="5" spans="1:5">
      <c r="A5" s="11">
        <v>43922</v>
      </c>
      <c r="B5" s="15">
        <v>377.5</v>
      </c>
      <c r="C5" t="s">
        <v>32</v>
      </c>
      <c r="D5" t="s">
        <v>27</v>
      </c>
      <c r="E5" s="11">
        <v>43922</v>
      </c>
    </row>
    <row r="6" spans="1:5">
      <c r="A6" s="11">
        <v>43952</v>
      </c>
      <c r="B6" s="15">
        <v>386.1</v>
      </c>
      <c r="C6" t="s">
        <v>32</v>
      </c>
      <c r="D6" t="s">
        <v>27</v>
      </c>
      <c r="E6" s="11">
        <v>43952</v>
      </c>
    </row>
    <row r="7" spans="1:5">
      <c r="A7" s="11">
        <v>43983</v>
      </c>
      <c r="B7" s="15">
        <v>386.7</v>
      </c>
      <c r="C7" t="s">
        <v>32</v>
      </c>
      <c r="D7" t="s">
        <v>27</v>
      </c>
      <c r="E7" s="11">
        <v>43983</v>
      </c>
    </row>
    <row r="8" spans="1:5">
      <c r="A8" s="11">
        <v>44013</v>
      </c>
      <c r="B8" s="15">
        <v>385.4</v>
      </c>
      <c r="C8" t="s">
        <v>32</v>
      </c>
      <c r="D8" t="s">
        <v>27</v>
      </c>
      <c r="E8" s="11">
        <v>44013</v>
      </c>
    </row>
    <row r="9" spans="1:5">
      <c r="A9" s="11">
        <v>44044</v>
      </c>
      <c r="B9" s="15">
        <v>382</v>
      </c>
      <c r="C9" t="s">
        <v>32</v>
      </c>
      <c r="D9" t="s">
        <v>27</v>
      </c>
      <c r="E9" s="11">
        <v>44044</v>
      </c>
    </row>
    <row r="10" spans="1:5">
      <c r="A10" s="11">
        <v>44075</v>
      </c>
      <c r="B10" s="15">
        <v>383.1</v>
      </c>
      <c r="C10" t="s">
        <v>32</v>
      </c>
      <c r="D10" t="s">
        <v>27</v>
      </c>
      <c r="E10" s="11">
        <v>44075</v>
      </c>
    </row>
    <row r="11" spans="1:5">
      <c r="A11" s="11">
        <v>44105</v>
      </c>
      <c r="B11" s="15">
        <v>381.3</v>
      </c>
      <c r="C11" t="s">
        <v>32</v>
      </c>
      <c r="D11" t="s">
        <v>27</v>
      </c>
      <c r="E11" s="11">
        <v>44105</v>
      </c>
    </row>
    <row r="12" spans="1:5">
      <c r="A12" s="11">
        <v>44136</v>
      </c>
      <c r="B12" s="15">
        <v>380.6</v>
      </c>
      <c r="C12" t="s">
        <v>32</v>
      </c>
      <c r="D12" t="s">
        <v>27</v>
      </c>
      <c r="E12" s="11">
        <v>44136</v>
      </c>
    </row>
    <row r="13" spans="1:5">
      <c r="A13" s="11">
        <v>44166</v>
      </c>
      <c r="B13" s="15">
        <v>379.9</v>
      </c>
      <c r="C13" t="s">
        <v>32</v>
      </c>
      <c r="D13" t="s">
        <v>27</v>
      </c>
      <c r="E13" s="11">
        <v>44166</v>
      </c>
    </row>
    <row r="14" spans="1:5">
      <c r="A14" s="11">
        <v>44197</v>
      </c>
      <c r="B14" s="15">
        <v>381.9</v>
      </c>
      <c r="C14" t="s">
        <v>32</v>
      </c>
      <c r="D14" t="s">
        <v>27</v>
      </c>
      <c r="E14" s="11">
        <v>44197</v>
      </c>
    </row>
    <row r="15" spans="1:5">
      <c r="A15" s="11">
        <v>44228</v>
      </c>
      <c r="B15" s="15">
        <v>384.9</v>
      </c>
      <c r="C15" t="s">
        <v>32</v>
      </c>
      <c r="D15" t="s">
        <v>27</v>
      </c>
      <c r="E15" s="11">
        <v>44228</v>
      </c>
    </row>
    <row r="16" spans="1:5">
      <c r="A16" s="11">
        <v>44256</v>
      </c>
      <c r="B16" s="15">
        <v>389.6</v>
      </c>
      <c r="C16" t="s">
        <v>32</v>
      </c>
      <c r="D16" t="s">
        <v>27</v>
      </c>
      <c r="E16" s="11">
        <v>44256</v>
      </c>
    </row>
    <row r="17" spans="1:5">
      <c r="A17" s="11">
        <v>44287</v>
      </c>
      <c r="B17" s="15">
        <v>391</v>
      </c>
      <c r="C17" t="s">
        <v>32</v>
      </c>
      <c r="D17" t="s">
        <v>27</v>
      </c>
      <c r="E17" s="11">
        <v>44287</v>
      </c>
    </row>
    <row r="18" spans="1:5">
      <c r="A18" s="11">
        <v>44317</v>
      </c>
      <c r="B18" s="15">
        <v>393.9</v>
      </c>
      <c r="C18" t="s">
        <v>32</v>
      </c>
      <c r="D18" t="s">
        <v>27</v>
      </c>
      <c r="E18" s="11">
        <v>44317</v>
      </c>
    </row>
    <row r="19" spans="1:5">
      <c r="A19" s="11">
        <v>44348</v>
      </c>
      <c r="B19" s="15">
        <v>394</v>
      </c>
      <c r="C19" t="s">
        <v>32</v>
      </c>
      <c r="D19" t="s">
        <v>27</v>
      </c>
      <c r="E19" s="11">
        <v>44348</v>
      </c>
    </row>
    <row r="20" spans="1:5">
      <c r="A20" s="11">
        <v>44378</v>
      </c>
      <c r="B20" s="15">
        <v>398</v>
      </c>
      <c r="C20" t="s">
        <v>32</v>
      </c>
      <c r="D20" t="s">
        <v>27</v>
      </c>
      <c r="E20" s="11">
        <v>44378</v>
      </c>
    </row>
    <row r="21" spans="1:5">
      <c r="A21" s="11">
        <v>44409</v>
      </c>
      <c r="B21" s="15">
        <v>397.5</v>
      </c>
      <c r="C21" t="s">
        <v>32</v>
      </c>
      <c r="D21" t="s">
        <v>27</v>
      </c>
      <c r="E21" s="11">
        <v>44409</v>
      </c>
    </row>
    <row r="22" spans="1:5">
      <c r="A22" s="11">
        <v>44440</v>
      </c>
      <c r="B22" s="15">
        <v>398.1</v>
      </c>
      <c r="C22" t="s">
        <v>32</v>
      </c>
      <c r="D22" t="s">
        <v>27</v>
      </c>
      <c r="E22" s="11">
        <v>44440</v>
      </c>
    </row>
    <row r="23" spans="1:5">
      <c r="A23" s="11">
        <v>44470</v>
      </c>
      <c r="B23" s="15">
        <v>396</v>
      </c>
      <c r="C23" t="s">
        <v>32</v>
      </c>
      <c r="D23" t="s">
        <v>27</v>
      </c>
      <c r="E23" s="11">
        <v>44470</v>
      </c>
    </row>
    <row r="24" spans="1:5">
      <c r="A24" s="11">
        <v>44501</v>
      </c>
      <c r="B24" s="15">
        <v>393.6</v>
      </c>
      <c r="C24" t="s">
        <v>32</v>
      </c>
      <c r="D24" t="s">
        <v>27</v>
      </c>
      <c r="E24" s="11">
        <v>44501</v>
      </c>
    </row>
    <row r="25" spans="1:5">
      <c r="A25" s="11">
        <v>44531</v>
      </c>
      <c r="B25" s="15">
        <v>393.9</v>
      </c>
      <c r="C25" t="s">
        <v>32</v>
      </c>
      <c r="D25" t="s">
        <v>27</v>
      </c>
      <c r="E25" s="11">
        <v>44531</v>
      </c>
    </row>
    <row r="26" spans="1:5">
      <c r="A26" s="11">
        <v>44562</v>
      </c>
      <c r="B26" s="15">
        <v>390.8</v>
      </c>
      <c r="C26" t="s">
        <v>32</v>
      </c>
      <c r="D26" t="s">
        <v>27</v>
      </c>
      <c r="E26" s="11">
        <v>44562</v>
      </c>
    </row>
    <row r="27" spans="1:5">
      <c r="A27" s="11">
        <v>44593</v>
      </c>
      <c r="B27" s="15">
        <v>383.6</v>
      </c>
      <c r="C27" t="s">
        <v>32</v>
      </c>
      <c r="D27" t="s">
        <v>27</v>
      </c>
      <c r="E27" s="11">
        <v>44593</v>
      </c>
    </row>
    <row r="28" spans="1:5">
      <c r="A28" s="11">
        <v>44621</v>
      </c>
      <c r="B28" s="15">
        <v>381.4</v>
      </c>
      <c r="C28" t="s">
        <v>32</v>
      </c>
      <c r="D28" t="s">
        <v>27</v>
      </c>
      <c r="E28" s="11">
        <v>44621</v>
      </c>
    </row>
    <row r="29" spans="1:5">
      <c r="A29" s="11">
        <v>44652</v>
      </c>
      <c r="B29" s="15">
        <v>385</v>
      </c>
      <c r="C29" t="s">
        <v>32</v>
      </c>
      <c r="D29" t="s">
        <v>27</v>
      </c>
      <c r="E29" s="11">
        <v>44652</v>
      </c>
    </row>
    <row r="30" spans="1:5">
      <c r="A30" s="11">
        <v>44682</v>
      </c>
      <c r="B30" s="15">
        <v>385.5</v>
      </c>
      <c r="C30" t="s">
        <v>32</v>
      </c>
      <c r="D30" t="s">
        <v>27</v>
      </c>
      <c r="E30" s="11">
        <v>44682</v>
      </c>
    </row>
    <row r="31" spans="1:5">
      <c r="A31" s="11">
        <v>44713</v>
      </c>
      <c r="B31" s="15">
        <v>381.8</v>
      </c>
      <c r="C31" t="s">
        <v>32</v>
      </c>
      <c r="D31" t="s">
        <v>27</v>
      </c>
      <c r="E31" s="11">
        <v>44713</v>
      </c>
    </row>
    <row r="32" spans="1:5">
      <c r="A32" s="11">
        <v>44743</v>
      </c>
      <c r="B32" s="15">
        <v>376.5</v>
      </c>
      <c r="C32" t="s">
        <v>32</v>
      </c>
      <c r="D32" t="s">
        <v>27</v>
      </c>
      <c r="E32" s="11">
        <v>44743</v>
      </c>
    </row>
    <row r="33" spans="1:5">
      <c r="A33" s="11">
        <v>44774</v>
      </c>
      <c r="B33" s="15">
        <v>368.2</v>
      </c>
      <c r="C33" t="s">
        <v>32</v>
      </c>
      <c r="D33" t="s">
        <v>27</v>
      </c>
      <c r="E33" s="11">
        <v>44774</v>
      </c>
    </row>
    <row r="34" spans="1:5">
      <c r="A34" s="11">
        <v>44805</v>
      </c>
      <c r="B34" s="15">
        <v>360.3</v>
      </c>
      <c r="C34" t="s">
        <v>32</v>
      </c>
      <c r="D34" t="s">
        <v>27</v>
      </c>
      <c r="E34" s="11">
        <v>44805</v>
      </c>
    </row>
    <row r="35" spans="1:5">
      <c r="A35" s="11">
        <v>44835</v>
      </c>
      <c r="B35" s="15">
        <v>350.2</v>
      </c>
      <c r="C35" t="s">
        <v>32</v>
      </c>
      <c r="D35" t="s">
        <v>27</v>
      </c>
      <c r="E35" s="11">
        <v>44835</v>
      </c>
    </row>
    <row r="36" spans="1:5">
      <c r="A36" s="11">
        <v>44866</v>
      </c>
      <c r="B36" s="15">
        <v>338.2</v>
      </c>
      <c r="C36" t="s">
        <v>32</v>
      </c>
      <c r="D36" t="s">
        <v>27</v>
      </c>
      <c r="E36" s="11">
        <v>44866</v>
      </c>
    </row>
    <row r="37" spans="1:5">
      <c r="A37" s="11">
        <v>44896</v>
      </c>
      <c r="B37" s="15">
        <v>334.7</v>
      </c>
      <c r="C37" t="s">
        <v>32</v>
      </c>
      <c r="D37" t="s">
        <v>27</v>
      </c>
      <c r="E37" s="11">
        <v>44896</v>
      </c>
    </row>
    <row r="38" spans="1:5">
      <c r="A38" s="11">
        <v>44927</v>
      </c>
      <c r="B38" s="15">
        <v>338.3</v>
      </c>
      <c r="C38" t="s">
        <v>32</v>
      </c>
      <c r="D38" t="s">
        <v>27</v>
      </c>
      <c r="E38" s="11">
        <v>44927</v>
      </c>
    </row>
    <row r="39" spans="1:5">
      <c r="A39" s="11">
        <v>44958</v>
      </c>
      <c r="B39" s="15">
        <v>346.8</v>
      </c>
      <c r="C39" t="s">
        <v>32</v>
      </c>
      <c r="D39" t="s">
        <v>27</v>
      </c>
      <c r="E39" s="11">
        <v>44958</v>
      </c>
    </row>
    <row r="40" spans="1:5">
      <c r="A40" s="11">
        <v>44986</v>
      </c>
      <c r="B40" s="15">
        <v>352.3</v>
      </c>
      <c r="C40" t="s">
        <v>32</v>
      </c>
      <c r="D40" t="s">
        <v>27</v>
      </c>
      <c r="E40" s="11">
        <v>44986</v>
      </c>
    </row>
    <row r="41" spans="1:5">
      <c r="A41" s="11">
        <v>45017</v>
      </c>
      <c r="B41" s="15">
        <v>354.2</v>
      </c>
      <c r="C41" t="s">
        <v>32</v>
      </c>
      <c r="D41" t="s">
        <v>27</v>
      </c>
      <c r="E41" s="11">
        <v>45017</v>
      </c>
    </row>
    <row r="42" spans="1:5">
      <c r="A42" s="11">
        <v>45047</v>
      </c>
      <c r="B42" s="15">
        <v>350.4</v>
      </c>
      <c r="C42" t="s">
        <v>32</v>
      </c>
      <c r="D42" t="s">
        <v>27</v>
      </c>
      <c r="E42" s="11">
        <v>45047</v>
      </c>
    </row>
    <row r="43" spans="1:5">
      <c r="A43" s="11">
        <v>45078</v>
      </c>
      <c r="B43" s="15">
        <v>347.3</v>
      </c>
      <c r="C43" t="s">
        <v>32</v>
      </c>
      <c r="D43" t="s">
        <v>27</v>
      </c>
      <c r="E43" s="11">
        <v>45078</v>
      </c>
    </row>
    <row r="44" spans="1:5">
      <c r="A44" s="11">
        <v>45108</v>
      </c>
      <c r="B44" s="15">
        <v>344</v>
      </c>
      <c r="C44" t="s">
        <v>32</v>
      </c>
      <c r="D44" t="s">
        <v>27</v>
      </c>
      <c r="E44" s="11">
        <v>45108</v>
      </c>
    </row>
    <row r="45" spans="1:5">
      <c r="A45" s="11">
        <v>45139</v>
      </c>
      <c r="B45" s="15">
        <v>337</v>
      </c>
      <c r="C45" t="s">
        <v>32</v>
      </c>
      <c r="D45" t="s">
        <v>27</v>
      </c>
      <c r="E45" s="11">
        <v>45139</v>
      </c>
    </row>
    <row r="46" spans="1:5">
      <c r="A46" s="11">
        <v>45170</v>
      </c>
      <c r="B46" s="15">
        <v>329.1</v>
      </c>
      <c r="C46" t="s">
        <v>32</v>
      </c>
      <c r="D46" t="s">
        <v>27</v>
      </c>
      <c r="E46" s="11">
        <v>45170</v>
      </c>
    </row>
    <row r="47" spans="1:5">
      <c r="A47" s="11">
        <v>45200</v>
      </c>
      <c r="B47" s="15">
        <v>322</v>
      </c>
      <c r="C47" t="s">
        <v>32</v>
      </c>
      <c r="D47" t="s">
        <v>27</v>
      </c>
      <c r="E47" s="11">
        <v>45200</v>
      </c>
    </row>
    <row r="48" spans="1:5">
      <c r="A48" s="11">
        <v>45231</v>
      </c>
      <c r="B48" s="15">
        <v>315.60000000000002</v>
      </c>
      <c r="C48" t="s">
        <v>32</v>
      </c>
      <c r="D48" t="s">
        <v>27</v>
      </c>
      <c r="E48" s="11">
        <v>45231</v>
      </c>
    </row>
    <row r="49" spans="1:5">
      <c r="A49" s="11">
        <v>45261</v>
      </c>
      <c r="B49" s="15">
        <v>311.3</v>
      </c>
      <c r="C49" t="s">
        <v>32</v>
      </c>
      <c r="D49" t="s">
        <v>27</v>
      </c>
      <c r="E49" s="11">
        <v>45261</v>
      </c>
    </row>
    <row r="50" spans="1:5">
      <c r="A50" s="11">
        <v>45292</v>
      </c>
      <c r="B50" s="15">
        <v>307.3</v>
      </c>
      <c r="C50" t="s">
        <v>32</v>
      </c>
      <c r="D50" t="s">
        <v>27</v>
      </c>
      <c r="E50" s="11">
        <v>45292</v>
      </c>
    </row>
    <row r="51" spans="1:5">
      <c r="A51" s="11">
        <v>45323</v>
      </c>
      <c r="B51" s="15">
        <v>302.39999999999998</v>
      </c>
      <c r="C51" t="s">
        <v>32</v>
      </c>
      <c r="D51" t="s">
        <v>27</v>
      </c>
      <c r="E51" s="11">
        <v>45323</v>
      </c>
    </row>
    <row r="52" spans="1:5">
      <c r="A52" s="11">
        <v>45352</v>
      </c>
      <c r="B52" s="15">
        <v>308.10000000000002</v>
      </c>
      <c r="C52" t="s">
        <v>32</v>
      </c>
      <c r="D52" t="s">
        <v>27</v>
      </c>
      <c r="E52" s="11">
        <v>45352</v>
      </c>
    </row>
    <row r="53" spans="1:5">
      <c r="A53" s="11">
        <v>45383</v>
      </c>
      <c r="B53" s="15">
        <v>309.60000000000002</v>
      </c>
      <c r="C53" t="s">
        <v>32</v>
      </c>
      <c r="D53" t="s">
        <v>27</v>
      </c>
      <c r="E53" s="11">
        <v>45383</v>
      </c>
    </row>
    <row r="54" spans="1:5">
      <c r="A54" s="11">
        <v>45413</v>
      </c>
      <c r="B54" s="15">
        <v>305.5</v>
      </c>
      <c r="C54" t="s">
        <v>32</v>
      </c>
      <c r="D54" t="s">
        <v>27</v>
      </c>
      <c r="E54" s="11">
        <v>45413</v>
      </c>
    </row>
    <row r="55" spans="1:5">
      <c r="A55" s="11">
        <v>45444</v>
      </c>
      <c r="B55" s="15">
        <v>302.5</v>
      </c>
      <c r="C55" t="s">
        <v>32</v>
      </c>
      <c r="D55" t="s">
        <v>27</v>
      </c>
      <c r="E55" s="11">
        <v>45444</v>
      </c>
    </row>
    <row r="56" spans="1:5">
      <c r="A56" s="11">
        <v>45474</v>
      </c>
      <c r="B56" s="15">
        <v>297.60000000000002</v>
      </c>
      <c r="C56" t="s">
        <v>32</v>
      </c>
      <c r="D56" t="s">
        <v>27</v>
      </c>
      <c r="E56" s="11">
        <v>45474</v>
      </c>
    </row>
    <row r="57" spans="1:5">
      <c r="A57" s="11">
        <v>45505</v>
      </c>
      <c r="B57" s="15">
        <v>292</v>
      </c>
      <c r="C57" t="s">
        <v>32</v>
      </c>
      <c r="D57" t="s">
        <v>27</v>
      </c>
      <c r="E57" s="11">
        <v>45505</v>
      </c>
    </row>
    <row r="58" spans="1:5">
      <c r="A58" s="11">
        <v>45536</v>
      </c>
      <c r="B58" s="15">
        <v>287.89999999999998</v>
      </c>
      <c r="C58" t="s">
        <v>32</v>
      </c>
      <c r="D58" t="s">
        <v>27</v>
      </c>
      <c r="E58" s="11">
        <v>45536</v>
      </c>
    </row>
    <row r="59" spans="1:5">
      <c r="A59" s="11">
        <v>45566</v>
      </c>
      <c r="B59" s="15">
        <v>291</v>
      </c>
      <c r="C59" t="s">
        <v>32</v>
      </c>
      <c r="D59" t="s">
        <v>27</v>
      </c>
      <c r="E59" s="11">
        <v>45566</v>
      </c>
    </row>
    <row r="60" spans="1:5">
      <c r="A60" s="11">
        <v>45597</v>
      </c>
      <c r="B60" s="15">
        <v>291.5</v>
      </c>
      <c r="C60" t="s">
        <v>32</v>
      </c>
      <c r="D60" t="s">
        <v>27</v>
      </c>
      <c r="E60" s="11">
        <v>45597</v>
      </c>
    </row>
    <row r="61" spans="1:5">
      <c r="A61" s="11">
        <v>45627</v>
      </c>
      <c r="B61" s="15">
        <v>289.2</v>
      </c>
      <c r="C61" t="s">
        <v>32</v>
      </c>
      <c r="D61" t="s">
        <v>27</v>
      </c>
      <c r="E61" s="11">
        <v>45627</v>
      </c>
    </row>
    <row r="62" spans="1:5">
      <c r="A62" s="11">
        <v>45658</v>
      </c>
      <c r="B62" s="15">
        <v>287.2</v>
      </c>
      <c r="C62" t="s">
        <v>32</v>
      </c>
      <c r="D62" t="s">
        <v>27</v>
      </c>
      <c r="E62" s="11">
        <v>45658</v>
      </c>
    </row>
    <row r="63" spans="1:5">
      <c r="A63" s="11">
        <v>45689</v>
      </c>
      <c r="B63" s="15">
        <v>285.60000000000002</v>
      </c>
      <c r="C63" t="s">
        <v>32</v>
      </c>
      <c r="D63" t="s">
        <v>27</v>
      </c>
      <c r="E63" s="11">
        <v>45689</v>
      </c>
    </row>
    <row r="64" spans="1:5">
      <c r="A64" s="11">
        <v>45717</v>
      </c>
      <c r="B64" s="15">
        <v>284.89999999999998</v>
      </c>
      <c r="C64" t="s">
        <v>32</v>
      </c>
      <c r="D64" t="s">
        <v>27</v>
      </c>
      <c r="E64" s="11">
        <v>45717</v>
      </c>
    </row>
    <row r="65" spans="1:5">
      <c r="A65" s="11">
        <v>45748</v>
      </c>
      <c r="B65" s="15">
        <v>286.5</v>
      </c>
      <c r="C65" t="s">
        <v>32</v>
      </c>
      <c r="D65" t="s">
        <v>27</v>
      </c>
      <c r="E65" s="11">
        <v>45748</v>
      </c>
    </row>
    <row r="66" spans="1:5">
      <c r="A66" s="11">
        <v>45778</v>
      </c>
      <c r="B66" s="15">
        <v>286.5</v>
      </c>
      <c r="C66" t="s">
        <v>32</v>
      </c>
      <c r="D66" t="s">
        <v>27</v>
      </c>
      <c r="E66" s="11">
        <v>45778</v>
      </c>
    </row>
    <row r="67" spans="1:5">
      <c r="A67" s="11">
        <v>45809</v>
      </c>
      <c r="B67" s="15">
        <v>286.7</v>
      </c>
      <c r="C67" t="s">
        <v>32</v>
      </c>
      <c r="D67" t="s">
        <v>27</v>
      </c>
      <c r="E67" s="11">
        <v>45809</v>
      </c>
    </row>
    <row r="68" spans="1:5">
      <c r="A68" s="11">
        <v>45839</v>
      </c>
      <c r="B68" s="15">
        <v>288.10000000000002</v>
      </c>
      <c r="C68" t="s">
        <v>32</v>
      </c>
      <c r="D68" t="s">
        <v>27</v>
      </c>
      <c r="E68" s="11">
        <v>45839</v>
      </c>
    </row>
    <row r="69" spans="1:5">
      <c r="A69" s="11">
        <v>45870</v>
      </c>
      <c r="B69" s="15">
        <v>288.5</v>
      </c>
      <c r="C69" t="s">
        <v>32</v>
      </c>
      <c r="D69" t="s">
        <v>27</v>
      </c>
      <c r="E69" s="11">
        <v>45870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0C42-17FD-A344-A336-548598A6372C}">
  <dimension ref="A1:E68"/>
  <sheetViews>
    <sheetView workbookViewId="0">
      <selection activeCell="F12" sqref="F12"/>
    </sheetView>
  </sheetViews>
  <sheetFormatPr baseColWidth="10" defaultRowHeight="28"/>
  <cols>
    <col min="2" max="2" width="10.58203125" style="16" customWidth="1"/>
  </cols>
  <sheetData>
    <row r="1" spans="1:5">
      <c r="A1" s="11" t="s">
        <v>19</v>
      </c>
      <c r="B1" s="16" t="s">
        <v>21</v>
      </c>
      <c r="C1" t="s">
        <v>25</v>
      </c>
      <c r="D1" t="s">
        <v>23</v>
      </c>
      <c r="E1" s="10" t="s">
        <v>31</v>
      </c>
    </row>
    <row r="2" spans="1:5">
      <c r="A2" s="11">
        <v>43831</v>
      </c>
      <c r="B2" s="17">
        <v>212.36799999999999</v>
      </c>
      <c r="C2" t="s">
        <v>41</v>
      </c>
      <c r="D2" t="s">
        <v>27</v>
      </c>
      <c r="E2" s="11">
        <v>43831</v>
      </c>
    </row>
    <row r="3" spans="1:5">
      <c r="A3" s="11">
        <v>43862</v>
      </c>
      <c r="B3" s="17">
        <v>213.18700000000001</v>
      </c>
      <c r="C3" t="s">
        <v>41</v>
      </c>
      <c r="D3" t="s">
        <v>27</v>
      </c>
      <c r="E3" s="11">
        <v>43862</v>
      </c>
    </row>
    <row r="4" spans="1:5">
      <c r="A4" s="11">
        <v>43891</v>
      </c>
      <c r="B4" s="17">
        <v>215.16300000000001</v>
      </c>
      <c r="C4" t="s">
        <v>41</v>
      </c>
      <c r="D4" t="s">
        <v>27</v>
      </c>
      <c r="E4" s="11">
        <v>43891</v>
      </c>
    </row>
    <row r="5" spans="1:5">
      <c r="A5" s="11">
        <v>43922</v>
      </c>
      <c r="B5" s="17">
        <v>217.208</v>
      </c>
      <c r="C5" t="s">
        <v>41</v>
      </c>
      <c r="D5" t="s">
        <v>27</v>
      </c>
      <c r="E5" s="11">
        <v>43922</v>
      </c>
    </row>
    <row r="6" spans="1:5">
      <c r="A6" s="11">
        <v>43952</v>
      </c>
      <c r="B6" s="17">
        <v>218.45599999999999</v>
      </c>
      <c r="C6" t="s">
        <v>41</v>
      </c>
      <c r="D6" t="s">
        <v>27</v>
      </c>
      <c r="E6" s="11">
        <v>43952</v>
      </c>
    </row>
    <row r="7" spans="1:5">
      <c r="A7" s="11">
        <v>43983</v>
      </c>
      <c r="B7" s="17">
        <v>219.78200000000001</v>
      </c>
      <c r="C7" t="s">
        <v>41</v>
      </c>
      <c r="D7" t="s">
        <v>27</v>
      </c>
      <c r="E7" s="11">
        <v>43983</v>
      </c>
    </row>
    <row r="8" spans="1:5">
      <c r="A8" s="11">
        <v>44013</v>
      </c>
      <c r="B8" s="17">
        <v>221.53700000000001</v>
      </c>
      <c r="C8" t="s">
        <v>41</v>
      </c>
      <c r="D8" t="s">
        <v>27</v>
      </c>
      <c r="E8" s="11">
        <v>44013</v>
      </c>
    </row>
    <row r="9" spans="1:5">
      <c r="A9" s="11">
        <v>44044</v>
      </c>
      <c r="B9" s="17">
        <v>224.01599999999999</v>
      </c>
      <c r="C9" t="s">
        <v>41</v>
      </c>
      <c r="D9" t="s">
        <v>27</v>
      </c>
      <c r="E9" s="11">
        <v>44044</v>
      </c>
    </row>
    <row r="10" spans="1:5">
      <c r="A10" s="11">
        <v>44075</v>
      </c>
      <c r="B10" s="17">
        <v>226.767</v>
      </c>
      <c r="C10" t="s">
        <v>41</v>
      </c>
      <c r="D10" t="s">
        <v>27</v>
      </c>
      <c r="E10" s="11">
        <v>44075</v>
      </c>
    </row>
    <row r="11" spans="1:5">
      <c r="A11" s="11">
        <v>44105</v>
      </c>
      <c r="B11" s="17">
        <v>229.77600000000001</v>
      </c>
      <c r="C11" t="s">
        <v>41</v>
      </c>
      <c r="D11" t="s">
        <v>27</v>
      </c>
      <c r="E11" s="11">
        <v>44105</v>
      </c>
    </row>
    <row r="12" spans="1:5">
      <c r="A12" s="11">
        <v>44136</v>
      </c>
      <c r="B12" s="17">
        <v>232.279</v>
      </c>
      <c r="C12" t="s">
        <v>41</v>
      </c>
      <c r="D12" t="s">
        <v>27</v>
      </c>
      <c r="E12" s="11">
        <v>44136</v>
      </c>
    </row>
    <row r="13" spans="1:5">
      <c r="A13" s="11">
        <v>44166</v>
      </c>
      <c r="B13" s="17">
        <v>234.328</v>
      </c>
      <c r="C13" t="s">
        <v>41</v>
      </c>
      <c r="D13" t="s">
        <v>27</v>
      </c>
      <c r="E13" s="11">
        <v>44166</v>
      </c>
    </row>
    <row r="14" spans="1:5">
      <c r="A14" s="11">
        <v>44197</v>
      </c>
      <c r="B14" s="17">
        <v>236.4</v>
      </c>
      <c r="C14" t="s">
        <v>41</v>
      </c>
      <c r="D14" t="s">
        <v>27</v>
      </c>
      <c r="E14" s="11">
        <v>44197</v>
      </c>
    </row>
    <row r="15" spans="1:5">
      <c r="A15" s="11">
        <v>44228</v>
      </c>
      <c r="B15" s="17">
        <v>239.18</v>
      </c>
      <c r="C15" t="s">
        <v>41</v>
      </c>
      <c r="D15" t="s">
        <v>27</v>
      </c>
      <c r="E15" s="11">
        <v>44228</v>
      </c>
    </row>
    <row r="16" spans="1:5">
      <c r="A16" s="11">
        <v>44256</v>
      </c>
      <c r="B16" s="17">
        <v>244.178</v>
      </c>
      <c r="C16" t="s">
        <v>41</v>
      </c>
      <c r="D16" t="s">
        <v>27</v>
      </c>
      <c r="E16" s="11">
        <v>44256</v>
      </c>
    </row>
    <row r="17" spans="1:5">
      <c r="A17" s="11">
        <v>44287</v>
      </c>
      <c r="B17" s="17">
        <v>249.78700000000001</v>
      </c>
      <c r="C17" t="s">
        <v>41</v>
      </c>
      <c r="D17" t="s">
        <v>27</v>
      </c>
      <c r="E17" s="11">
        <v>44287</v>
      </c>
    </row>
    <row r="18" spans="1:5">
      <c r="A18" s="11">
        <v>44317</v>
      </c>
      <c r="B18" s="17">
        <v>255.41200000000001</v>
      </c>
      <c r="C18" t="s">
        <v>41</v>
      </c>
      <c r="D18" t="s">
        <v>27</v>
      </c>
      <c r="E18" s="11">
        <v>44317</v>
      </c>
    </row>
    <row r="19" spans="1:5">
      <c r="A19" s="11">
        <v>44348</v>
      </c>
      <c r="B19" s="17">
        <v>261.13200000000001</v>
      </c>
      <c r="C19" t="s">
        <v>41</v>
      </c>
      <c r="D19" t="s">
        <v>27</v>
      </c>
      <c r="E19" s="11">
        <v>44348</v>
      </c>
    </row>
    <row r="20" spans="1:5">
      <c r="A20" s="11">
        <v>44378</v>
      </c>
      <c r="B20" s="17">
        <v>265.46300000000002</v>
      </c>
      <c r="C20" t="s">
        <v>41</v>
      </c>
      <c r="D20" t="s">
        <v>27</v>
      </c>
      <c r="E20" s="11">
        <v>44378</v>
      </c>
    </row>
    <row r="21" spans="1:5">
      <c r="A21" s="11">
        <v>44409</v>
      </c>
      <c r="B21" s="17">
        <v>268.733</v>
      </c>
      <c r="C21" t="s">
        <v>41</v>
      </c>
      <c r="D21" t="s">
        <v>27</v>
      </c>
      <c r="E21" s="11">
        <v>44409</v>
      </c>
    </row>
    <row r="22" spans="1:5">
      <c r="A22" s="11">
        <v>44440</v>
      </c>
      <c r="B22" s="17">
        <v>271.38099999999997</v>
      </c>
      <c r="C22" t="s">
        <v>41</v>
      </c>
      <c r="D22" t="s">
        <v>27</v>
      </c>
      <c r="E22" s="11">
        <v>44440</v>
      </c>
    </row>
    <row r="23" spans="1:5">
      <c r="A23" s="11">
        <v>44470</v>
      </c>
      <c r="B23" s="17">
        <v>273.58699999999999</v>
      </c>
      <c r="C23" t="s">
        <v>41</v>
      </c>
      <c r="D23" t="s">
        <v>27</v>
      </c>
      <c r="E23" s="11">
        <v>44470</v>
      </c>
    </row>
    <row r="24" spans="1:5">
      <c r="A24" s="11">
        <v>44501</v>
      </c>
      <c r="B24" s="17">
        <v>275.95400000000001</v>
      </c>
      <c r="C24" t="s">
        <v>41</v>
      </c>
      <c r="D24" t="s">
        <v>27</v>
      </c>
      <c r="E24" s="11">
        <v>44501</v>
      </c>
    </row>
    <row r="25" spans="1:5">
      <c r="A25" s="11">
        <v>44531</v>
      </c>
      <c r="B25" s="17">
        <v>278.52699999999999</v>
      </c>
      <c r="C25" t="s">
        <v>41</v>
      </c>
      <c r="D25" t="s">
        <v>27</v>
      </c>
      <c r="E25" s="11">
        <v>44531</v>
      </c>
    </row>
    <row r="26" spans="1:5">
      <c r="A26" s="11">
        <v>44562</v>
      </c>
      <c r="B26" s="17">
        <v>281.904</v>
      </c>
      <c r="C26" t="s">
        <v>41</v>
      </c>
      <c r="D26" t="s">
        <v>27</v>
      </c>
      <c r="E26" s="11">
        <v>44562</v>
      </c>
    </row>
    <row r="27" spans="1:5">
      <c r="A27" s="11">
        <v>44593</v>
      </c>
      <c r="B27" s="17">
        <v>287.12299999999999</v>
      </c>
      <c r="C27" t="s">
        <v>41</v>
      </c>
      <c r="D27" t="s">
        <v>27</v>
      </c>
      <c r="E27" s="11">
        <v>44593</v>
      </c>
    </row>
    <row r="28" spans="1:5">
      <c r="A28" s="11">
        <v>44621</v>
      </c>
      <c r="B28" s="17">
        <v>294.91800000000001</v>
      </c>
      <c r="C28" t="s">
        <v>41</v>
      </c>
      <c r="D28" t="s">
        <v>27</v>
      </c>
      <c r="E28" s="11">
        <v>44621</v>
      </c>
    </row>
    <row r="29" spans="1:5">
      <c r="A29" s="11">
        <v>44652</v>
      </c>
      <c r="B29" s="17">
        <v>301.53699999999998</v>
      </c>
      <c r="C29" t="s">
        <v>41</v>
      </c>
      <c r="D29" t="s">
        <v>27</v>
      </c>
      <c r="E29" s="11">
        <v>44652</v>
      </c>
    </row>
    <row r="30" spans="1:5">
      <c r="A30" s="11">
        <v>44682</v>
      </c>
      <c r="B30" s="17">
        <v>306.29899999999998</v>
      </c>
      <c r="C30" t="s">
        <v>41</v>
      </c>
      <c r="D30" t="s">
        <v>27</v>
      </c>
      <c r="E30" s="11">
        <v>44682</v>
      </c>
    </row>
    <row r="31" spans="1:5">
      <c r="A31" s="11">
        <v>44713</v>
      </c>
      <c r="B31" s="17">
        <v>308.09500000000003</v>
      </c>
      <c r="C31" t="s">
        <v>41</v>
      </c>
      <c r="D31" t="s">
        <v>27</v>
      </c>
      <c r="E31" s="11">
        <v>44713</v>
      </c>
    </row>
    <row r="32" spans="1:5">
      <c r="A32" s="11">
        <v>44743</v>
      </c>
      <c r="B32" s="17">
        <v>306.93200000000002</v>
      </c>
      <c r="C32" t="s">
        <v>41</v>
      </c>
      <c r="D32" t="s">
        <v>27</v>
      </c>
      <c r="E32" s="11">
        <v>44743</v>
      </c>
    </row>
    <row r="33" spans="1:5">
      <c r="A33" s="11">
        <v>44774</v>
      </c>
      <c r="B33" s="17">
        <v>303.51</v>
      </c>
      <c r="C33" t="s">
        <v>41</v>
      </c>
      <c r="D33" t="s">
        <v>27</v>
      </c>
      <c r="E33" s="11">
        <v>44774</v>
      </c>
    </row>
    <row r="34" spans="1:5">
      <c r="A34" s="11">
        <v>44805</v>
      </c>
      <c r="B34" s="17">
        <v>300.346</v>
      </c>
      <c r="C34" t="s">
        <v>41</v>
      </c>
      <c r="D34" t="s">
        <v>27</v>
      </c>
      <c r="E34" s="11">
        <v>44805</v>
      </c>
    </row>
    <row r="35" spans="1:5">
      <c r="A35" s="11">
        <v>44835</v>
      </c>
      <c r="B35" s="17">
        <v>298.565</v>
      </c>
      <c r="C35" t="s">
        <v>41</v>
      </c>
      <c r="D35" t="s">
        <v>27</v>
      </c>
      <c r="E35" s="11">
        <v>44835</v>
      </c>
    </row>
    <row r="36" spans="1:5">
      <c r="A36" s="11">
        <v>44866</v>
      </c>
      <c r="B36" s="17">
        <v>296.75099999999998</v>
      </c>
      <c r="C36" t="s">
        <v>41</v>
      </c>
      <c r="D36" t="s">
        <v>27</v>
      </c>
      <c r="E36" s="11">
        <v>44866</v>
      </c>
    </row>
    <row r="37" spans="1:5">
      <c r="A37" s="11">
        <v>44896</v>
      </c>
      <c r="B37" s="17">
        <v>294.24400000000003</v>
      </c>
      <c r="C37" t="s">
        <v>41</v>
      </c>
      <c r="D37" t="s">
        <v>27</v>
      </c>
      <c r="E37" s="11">
        <v>44896</v>
      </c>
    </row>
    <row r="38" spans="1:5">
      <c r="A38" s="11">
        <v>44927</v>
      </c>
      <c r="B38" s="17">
        <v>292.73899999999998</v>
      </c>
      <c r="C38" t="s">
        <v>41</v>
      </c>
      <c r="D38" t="s">
        <v>27</v>
      </c>
      <c r="E38" s="11">
        <v>44927</v>
      </c>
    </row>
    <row r="39" spans="1:5">
      <c r="A39" s="11">
        <v>44958</v>
      </c>
      <c r="B39" s="17">
        <v>293.536</v>
      </c>
      <c r="C39" t="s">
        <v>41</v>
      </c>
      <c r="D39" t="s">
        <v>27</v>
      </c>
      <c r="E39" s="11">
        <v>44958</v>
      </c>
    </row>
    <row r="40" spans="1:5">
      <c r="A40" s="11">
        <v>44986</v>
      </c>
      <c r="B40" s="17">
        <v>297.459</v>
      </c>
      <c r="C40" t="s">
        <v>41</v>
      </c>
      <c r="D40" t="s">
        <v>27</v>
      </c>
      <c r="E40" s="11">
        <v>44986</v>
      </c>
    </row>
    <row r="41" spans="1:5">
      <c r="A41" s="11">
        <v>45017</v>
      </c>
      <c r="B41" s="17">
        <v>301.57299999999998</v>
      </c>
      <c r="C41" t="s">
        <v>41</v>
      </c>
      <c r="D41" t="s">
        <v>27</v>
      </c>
      <c r="E41" s="11">
        <v>45017</v>
      </c>
    </row>
    <row r="42" spans="1:5">
      <c r="A42" s="11">
        <v>45047</v>
      </c>
      <c r="B42" s="17">
        <v>305.43900000000002</v>
      </c>
      <c r="C42" t="s">
        <v>41</v>
      </c>
      <c r="D42" t="s">
        <v>27</v>
      </c>
      <c r="E42" s="11">
        <v>45047</v>
      </c>
    </row>
    <row r="43" spans="1:5">
      <c r="A43" s="11">
        <v>45078</v>
      </c>
      <c r="B43" s="17">
        <v>308.39800000000002</v>
      </c>
      <c r="C43" t="s">
        <v>41</v>
      </c>
      <c r="D43" t="s">
        <v>27</v>
      </c>
      <c r="E43" s="11">
        <v>45078</v>
      </c>
    </row>
    <row r="44" spans="1:5">
      <c r="A44" s="11">
        <v>45108</v>
      </c>
      <c r="B44" s="17">
        <v>310.32</v>
      </c>
      <c r="C44" t="s">
        <v>41</v>
      </c>
      <c r="D44" t="s">
        <v>27</v>
      </c>
      <c r="E44" s="11">
        <v>45108</v>
      </c>
    </row>
    <row r="45" spans="1:5">
      <c r="A45" s="11">
        <v>45139</v>
      </c>
      <c r="B45" s="17">
        <v>311.68299999999999</v>
      </c>
      <c r="C45" t="s">
        <v>41</v>
      </c>
      <c r="D45" t="s">
        <v>27</v>
      </c>
      <c r="E45" s="11">
        <v>45139</v>
      </c>
    </row>
    <row r="46" spans="1:5">
      <c r="A46" s="11">
        <v>45170</v>
      </c>
      <c r="B46" s="17">
        <v>312.53399999999999</v>
      </c>
      <c r="C46" t="s">
        <v>41</v>
      </c>
      <c r="D46" t="s">
        <v>27</v>
      </c>
      <c r="E46" s="11">
        <v>45170</v>
      </c>
    </row>
    <row r="47" spans="1:5">
      <c r="A47" s="11">
        <v>45200</v>
      </c>
      <c r="B47" s="17">
        <v>312.887</v>
      </c>
      <c r="C47" t="s">
        <v>41</v>
      </c>
      <c r="D47" t="s">
        <v>27</v>
      </c>
      <c r="E47" s="11">
        <v>45200</v>
      </c>
    </row>
    <row r="48" spans="1:5">
      <c r="A48" s="11">
        <v>45231</v>
      </c>
      <c r="B48" s="17">
        <v>312.12299999999999</v>
      </c>
      <c r="C48" t="s">
        <v>41</v>
      </c>
      <c r="D48" t="s">
        <v>27</v>
      </c>
      <c r="E48" s="11">
        <v>45231</v>
      </c>
    </row>
    <row r="49" spans="1:5">
      <c r="A49" s="11">
        <v>45261</v>
      </c>
      <c r="B49" s="17">
        <v>310.93900000000002</v>
      </c>
      <c r="C49" t="s">
        <v>41</v>
      </c>
      <c r="D49" t="s">
        <v>27</v>
      </c>
      <c r="E49" s="11">
        <v>45261</v>
      </c>
    </row>
    <row r="50" spans="1:5">
      <c r="A50" s="11">
        <v>45292</v>
      </c>
      <c r="B50" s="17">
        <v>310.80799999999999</v>
      </c>
      <c r="C50" t="s">
        <v>41</v>
      </c>
      <c r="D50" t="s">
        <v>27</v>
      </c>
      <c r="E50" s="11">
        <v>45292</v>
      </c>
    </row>
    <row r="51" spans="1:5">
      <c r="A51" s="11">
        <v>45323</v>
      </c>
      <c r="B51" s="17">
        <v>312.73399999999998</v>
      </c>
      <c r="C51" t="s">
        <v>41</v>
      </c>
      <c r="D51" t="s">
        <v>27</v>
      </c>
      <c r="E51" s="11">
        <v>45323</v>
      </c>
    </row>
    <row r="52" spans="1:5">
      <c r="A52" s="11">
        <v>45352</v>
      </c>
      <c r="B52" s="17">
        <v>316.91699999999997</v>
      </c>
      <c r="C52" t="s">
        <v>41</v>
      </c>
      <c r="D52" t="s">
        <v>27</v>
      </c>
      <c r="E52" s="11">
        <v>45352</v>
      </c>
    </row>
    <row r="53" spans="1:5">
      <c r="A53" s="11">
        <v>45383</v>
      </c>
      <c r="B53" s="17">
        <v>320.84699999999998</v>
      </c>
      <c r="C53" t="s">
        <v>41</v>
      </c>
      <c r="D53" t="s">
        <v>27</v>
      </c>
      <c r="E53" s="11">
        <v>45383</v>
      </c>
    </row>
    <row r="54" spans="1:5">
      <c r="A54" s="11">
        <v>45413</v>
      </c>
      <c r="B54" s="17">
        <v>323.78899999999999</v>
      </c>
      <c r="C54" t="s">
        <v>41</v>
      </c>
      <c r="D54" t="s">
        <v>27</v>
      </c>
      <c r="E54" s="11">
        <v>45413</v>
      </c>
    </row>
    <row r="55" spans="1:5">
      <c r="A55" s="11">
        <v>45444</v>
      </c>
      <c r="B55" s="17">
        <v>325.34199999999998</v>
      </c>
      <c r="C55" t="s">
        <v>41</v>
      </c>
      <c r="D55" t="s">
        <v>27</v>
      </c>
      <c r="E55" s="11">
        <v>45444</v>
      </c>
    </row>
    <row r="56" spans="1:5">
      <c r="A56" s="11">
        <v>45474</v>
      </c>
      <c r="B56" s="17">
        <v>325.66399999999999</v>
      </c>
      <c r="C56" t="s">
        <v>41</v>
      </c>
      <c r="D56" t="s">
        <v>27</v>
      </c>
      <c r="E56" s="11">
        <v>45474</v>
      </c>
    </row>
    <row r="57" spans="1:5">
      <c r="A57" s="11">
        <v>45505</v>
      </c>
      <c r="B57" s="17">
        <v>325.10899999999998</v>
      </c>
      <c r="C57" t="s">
        <v>41</v>
      </c>
      <c r="D57" t="s">
        <v>27</v>
      </c>
      <c r="E57" s="11">
        <v>45505</v>
      </c>
    </row>
    <row r="58" spans="1:5">
      <c r="A58" s="11">
        <v>45536</v>
      </c>
      <c r="B58" s="17">
        <v>324.74099999999999</v>
      </c>
      <c r="C58" t="s">
        <v>41</v>
      </c>
      <c r="D58" t="s">
        <v>27</v>
      </c>
      <c r="E58" s="11">
        <v>45536</v>
      </c>
    </row>
    <row r="59" spans="1:5">
      <c r="A59" s="11">
        <v>45566</v>
      </c>
      <c r="B59" s="17">
        <v>324.06</v>
      </c>
      <c r="C59" t="s">
        <v>41</v>
      </c>
      <c r="D59" t="s">
        <v>27</v>
      </c>
      <c r="E59" s="11">
        <v>45566</v>
      </c>
    </row>
    <row r="60" spans="1:5">
      <c r="A60" s="11">
        <v>45597</v>
      </c>
      <c r="B60" s="17">
        <v>323.77300000000002</v>
      </c>
      <c r="C60" t="s">
        <v>41</v>
      </c>
      <c r="D60" t="s">
        <v>27</v>
      </c>
      <c r="E60" s="11">
        <v>45597</v>
      </c>
    </row>
    <row r="61" spans="1:5">
      <c r="A61" s="11">
        <v>45627</v>
      </c>
      <c r="B61" s="17">
        <v>323.37299999999999</v>
      </c>
      <c r="C61" t="s">
        <v>41</v>
      </c>
      <c r="D61" t="s">
        <v>27</v>
      </c>
      <c r="E61" s="11">
        <v>45627</v>
      </c>
    </row>
    <row r="62" spans="1:5">
      <c r="A62" s="11">
        <v>45658</v>
      </c>
      <c r="B62" s="17">
        <v>323.68700000000001</v>
      </c>
      <c r="C62" t="s">
        <v>41</v>
      </c>
      <c r="D62" t="s">
        <v>27</v>
      </c>
      <c r="E62" s="11">
        <v>45658</v>
      </c>
    </row>
    <row r="63" spans="1:5">
      <c r="A63" s="11">
        <v>45689</v>
      </c>
      <c r="B63" s="17">
        <v>325.14299999999997</v>
      </c>
      <c r="C63" t="s">
        <v>41</v>
      </c>
      <c r="D63" t="s">
        <v>27</v>
      </c>
      <c r="E63" s="11">
        <v>45689</v>
      </c>
    </row>
    <row r="64" spans="1:5">
      <c r="A64" s="11">
        <v>45717</v>
      </c>
      <c r="B64" s="17">
        <v>327.745</v>
      </c>
      <c r="C64" t="s">
        <v>41</v>
      </c>
      <c r="D64" t="s">
        <v>27</v>
      </c>
      <c r="E64" s="11">
        <v>45717</v>
      </c>
    </row>
    <row r="65" spans="1:5">
      <c r="A65" s="11">
        <v>45748</v>
      </c>
      <c r="B65" s="17">
        <v>329.911</v>
      </c>
      <c r="C65" t="s">
        <v>41</v>
      </c>
      <c r="D65" t="s">
        <v>27</v>
      </c>
      <c r="E65" s="11">
        <v>45748</v>
      </c>
    </row>
    <row r="66" spans="1:5">
      <c r="A66" s="11">
        <v>45778</v>
      </c>
      <c r="B66" s="17">
        <v>331.44600000000003</v>
      </c>
      <c r="C66" t="s">
        <v>41</v>
      </c>
      <c r="D66" t="s">
        <v>27</v>
      </c>
      <c r="E66" s="11">
        <v>45778</v>
      </c>
    </row>
    <row r="67" spans="1:5">
      <c r="A67" s="11">
        <v>45809</v>
      </c>
      <c r="B67" s="17">
        <v>331.67099999999999</v>
      </c>
      <c r="C67" t="s">
        <v>41</v>
      </c>
      <c r="D67" t="s">
        <v>27</v>
      </c>
      <c r="E67" s="11">
        <v>45809</v>
      </c>
    </row>
    <row r="68" spans="1:5">
      <c r="A68" s="11">
        <v>45839</v>
      </c>
      <c r="B68" s="17">
        <v>331.12700000000001</v>
      </c>
      <c r="C68" t="s">
        <v>41</v>
      </c>
      <c r="D68" t="s">
        <v>27</v>
      </c>
      <c r="E68" s="11">
        <v>45839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B815A-330A-FB44-A90A-EA6BA5552924}">
  <dimension ref="A1:E69"/>
  <sheetViews>
    <sheetView workbookViewId="0">
      <selection activeCell="E8" sqref="E8"/>
    </sheetView>
  </sheetViews>
  <sheetFormatPr baseColWidth="10" defaultRowHeight="28"/>
  <sheetData>
    <row r="1" spans="1:5">
      <c r="A1" s="11" t="s">
        <v>19</v>
      </c>
      <c r="B1" s="14" t="s">
        <v>21</v>
      </c>
      <c r="C1" t="s">
        <v>25</v>
      </c>
      <c r="D1" t="s">
        <v>23</v>
      </c>
      <c r="E1" s="10" t="s">
        <v>31</v>
      </c>
    </row>
    <row r="2" spans="1:5">
      <c r="A2" s="11">
        <v>43831</v>
      </c>
      <c r="B2" s="15">
        <v>185.5</v>
      </c>
      <c r="C2" t="s">
        <v>32</v>
      </c>
      <c r="D2" t="s">
        <v>27</v>
      </c>
      <c r="E2" s="11">
        <v>43831</v>
      </c>
    </row>
    <row r="3" spans="1:5">
      <c r="A3" s="11">
        <v>43862</v>
      </c>
      <c r="B3" s="15">
        <v>185</v>
      </c>
      <c r="C3" t="s">
        <v>32</v>
      </c>
      <c r="D3" t="s">
        <v>27</v>
      </c>
      <c r="E3" s="11">
        <v>43862</v>
      </c>
    </row>
    <row r="4" spans="1:5">
      <c r="A4" s="11">
        <v>43891</v>
      </c>
      <c r="B4" s="15">
        <v>181.7</v>
      </c>
      <c r="C4" t="s">
        <v>32</v>
      </c>
      <c r="D4" t="s">
        <v>27</v>
      </c>
      <c r="E4" s="11">
        <v>43891</v>
      </c>
    </row>
    <row r="5" spans="1:5">
      <c r="A5" s="11">
        <v>43922</v>
      </c>
      <c r="B5" s="15">
        <v>179.9</v>
      </c>
      <c r="C5" t="s">
        <v>32</v>
      </c>
      <c r="D5" t="s">
        <v>27</v>
      </c>
      <c r="E5" s="11">
        <v>43922</v>
      </c>
    </row>
    <row r="6" spans="1:5">
      <c r="A6" s="11">
        <v>43952</v>
      </c>
      <c r="B6" s="15">
        <v>177.6</v>
      </c>
      <c r="C6" t="s">
        <v>32</v>
      </c>
      <c r="D6" t="s">
        <v>27</v>
      </c>
      <c r="E6" s="11">
        <v>43952</v>
      </c>
    </row>
    <row r="7" spans="1:5">
      <c r="A7" s="11">
        <v>43983</v>
      </c>
      <c r="B7" s="15">
        <v>180.1</v>
      </c>
      <c r="C7" t="s">
        <v>32</v>
      </c>
      <c r="D7" t="s">
        <v>27</v>
      </c>
      <c r="E7" s="11">
        <v>43983</v>
      </c>
    </row>
    <row r="8" spans="1:5">
      <c r="A8" s="11">
        <v>44013</v>
      </c>
      <c r="B8" s="15">
        <v>180.6</v>
      </c>
      <c r="C8" t="s">
        <v>32</v>
      </c>
      <c r="D8" t="s">
        <v>27</v>
      </c>
      <c r="E8" s="11">
        <v>44013</v>
      </c>
    </row>
    <row r="9" spans="1:5">
      <c r="A9" s="11">
        <v>44044</v>
      </c>
      <c r="B9" s="15">
        <v>181.2</v>
      </c>
      <c r="C9" t="s">
        <v>32</v>
      </c>
      <c r="D9" t="s">
        <v>27</v>
      </c>
      <c r="E9" s="11">
        <v>44044</v>
      </c>
    </row>
    <row r="10" spans="1:5">
      <c r="A10" s="11">
        <v>44075</v>
      </c>
      <c r="B10" s="15">
        <v>178.8</v>
      </c>
      <c r="C10" t="s">
        <v>32</v>
      </c>
      <c r="D10" t="s">
        <v>27</v>
      </c>
      <c r="E10" s="11">
        <v>44075</v>
      </c>
    </row>
    <row r="11" spans="1:5">
      <c r="A11" s="11">
        <v>44105</v>
      </c>
      <c r="B11" s="15">
        <v>178.2</v>
      </c>
      <c r="C11" t="s">
        <v>32</v>
      </c>
      <c r="D11" t="s">
        <v>27</v>
      </c>
      <c r="E11" s="11">
        <v>44105</v>
      </c>
    </row>
    <row r="12" spans="1:5">
      <c r="A12" s="11">
        <v>44136</v>
      </c>
      <c r="B12" s="15">
        <v>178.5</v>
      </c>
      <c r="C12" t="s">
        <v>32</v>
      </c>
      <c r="D12" t="s">
        <v>27</v>
      </c>
      <c r="E12" s="11">
        <v>44136</v>
      </c>
    </row>
    <row r="13" spans="1:5">
      <c r="A13" s="11">
        <v>44166</v>
      </c>
      <c r="B13" s="15">
        <v>176.6</v>
      </c>
      <c r="C13" t="s">
        <v>32</v>
      </c>
      <c r="D13" t="s">
        <v>27</v>
      </c>
      <c r="E13" s="11">
        <v>44166</v>
      </c>
    </row>
    <row r="14" spans="1:5">
      <c r="A14" s="11">
        <v>44197</v>
      </c>
      <c r="B14" s="15">
        <v>175.9</v>
      </c>
      <c r="C14" t="s">
        <v>32</v>
      </c>
      <c r="D14" t="s">
        <v>27</v>
      </c>
      <c r="E14" s="11">
        <v>44197</v>
      </c>
    </row>
    <row r="15" spans="1:5">
      <c r="A15" s="11">
        <v>44228</v>
      </c>
      <c r="B15" s="15">
        <v>174.1</v>
      </c>
      <c r="C15" t="s">
        <v>32</v>
      </c>
      <c r="D15" t="s">
        <v>27</v>
      </c>
      <c r="E15" s="11">
        <v>44228</v>
      </c>
    </row>
    <row r="16" spans="1:5">
      <c r="A16" s="11">
        <v>44256</v>
      </c>
      <c r="B16" s="15">
        <v>175.2</v>
      </c>
      <c r="C16" t="s">
        <v>32</v>
      </c>
      <c r="D16" t="s">
        <v>27</v>
      </c>
      <c r="E16" s="11">
        <v>44256</v>
      </c>
    </row>
    <row r="17" spans="1:5">
      <c r="A17" s="11">
        <v>44287</v>
      </c>
      <c r="B17" s="15">
        <v>177.5</v>
      </c>
      <c r="C17" t="s">
        <v>32</v>
      </c>
      <c r="D17" t="s">
        <v>27</v>
      </c>
      <c r="E17" s="11">
        <v>44287</v>
      </c>
    </row>
    <row r="18" spans="1:5">
      <c r="A18" s="11">
        <v>44317</v>
      </c>
      <c r="B18" s="15">
        <v>178.3</v>
      </c>
      <c r="C18" t="s">
        <v>32</v>
      </c>
      <c r="D18" t="s">
        <v>27</v>
      </c>
      <c r="E18" s="11">
        <v>44317</v>
      </c>
    </row>
    <row r="19" spans="1:5">
      <c r="A19" s="11">
        <v>44348</v>
      </c>
      <c r="B19" s="15">
        <v>179.3</v>
      </c>
      <c r="C19" t="s">
        <v>32</v>
      </c>
      <c r="D19" t="s">
        <v>27</v>
      </c>
      <c r="E19" s="11">
        <v>44348</v>
      </c>
    </row>
    <row r="20" spans="1:5">
      <c r="A20" s="11">
        <v>44378</v>
      </c>
      <c r="B20" s="15">
        <v>180.3</v>
      </c>
      <c r="C20" t="s">
        <v>32</v>
      </c>
      <c r="D20" t="s">
        <v>27</v>
      </c>
      <c r="E20" s="11">
        <v>44378</v>
      </c>
    </row>
    <row r="21" spans="1:5">
      <c r="A21" s="11">
        <v>44409</v>
      </c>
      <c r="B21" s="15">
        <v>182.6</v>
      </c>
      <c r="C21" t="s">
        <v>32</v>
      </c>
      <c r="D21" t="s">
        <v>27</v>
      </c>
      <c r="E21" s="11">
        <v>44409</v>
      </c>
    </row>
    <row r="22" spans="1:5">
      <c r="A22" s="11">
        <v>44440</v>
      </c>
      <c r="B22" s="15">
        <v>184.4</v>
      </c>
      <c r="C22" t="s">
        <v>32</v>
      </c>
      <c r="D22" t="s">
        <v>27</v>
      </c>
      <c r="E22" s="11">
        <v>44440</v>
      </c>
    </row>
    <row r="23" spans="1:5">
      <c r="A23" s="11">
        <v>44470</v>
      </c>
      <c r="B23" s="15">
        <v>184.3</v>
      </c>
      <c r="C23" t="s">
        <v>32</v>
      </c>
      <c r="D23" t="s">
        <v>27</v>
      </c>
      <c r="E23" s="11">
        <v>44470</v>
      </c>
    </row>
    <row r="24" spans="1:5">
      <c r="A24" s="11">
        <v>44501</v>
      </c>
      <c r="B24" s="15">
        <v>182.9</v>
      </c>
      <c r="C24" t="s">
        <v>32</v>
      </c>
      <c r="D24" t="s">
        <v>27</v>
      </c>
      <c r="E24" s="11">
        <v>44501</v>
      </c>
    </row>
    <row r="25" spans="1:5">
      <c r="A25" s="11">
        <v>44531</v>
      </c>
      <c r="B25" s="15">
        <v>182.7</v>
      </c>
      <c r="C25" t="s">
        <v>32</v>
      </c>
      <c r="D25" t="s">
        <v>27</v>
      </c>
      <c r="E25" s="11">
        <v>44531</v>
      </c>
    </row>
    <row r="26" spans="1:5">
      <c r="A26" s="11">
        <v>44562</v>
      </c>
      <c r="B26" s="15">
        <v>181.1</v>
      </c>
      <c r="C26" t="s">
        <v>32</v>
      </c>
      <c r="D26" t="s">
        <v>27</v>
      </c>
      <c r="E26" s="11">
        <v>44562</v>
      </c>
    </row>
    <row r="27" spans="1:5">
      <c r="A27" s="11">
        <v>44593</v>
      </c>
      <c r="B27" s="15">
        <v>180.2</v>
      </c>
      <c r="C27" t="s">
        <v>32</v>
      </c>
      <c r="D27" t="s">
        <v>27</v>
      </c>
      <c r="E27" s="11">
        <v>44593</v>
      </c>
    </row>
    <row r="28" spans="1:5">
      <c r="A28" s="11">
        <v>44621</v>
      </c>
      <c r="B28" s="15">
        <v>178.5</v>
      </c>
      <c r="C28" t="s">
        <v>32</v>
      </c>
      <c r="D28" t="s">
        <v>27</v>
      </c>
      <c r="E28" s="11">
        <v>44621</v>
      </c>
    </row>
    <row r="29" spans="1:5">
      <c r="A29" s="11">
        <v>44652</v>
      </c>
      <c r="B29" s="15">
        <v>177.3</v>
      </c>
      <c r="C29" t="s">
        <v>32</v>
      </c>
      <c r="D29" t="s">
        <v>27</v>
      </c>
      <c r="E29" s="11">
        <v>44652</v>
      </c>
    </row>
    <row r="30" spans="1:5">
      <c r="A30" s="11">
        <v>44682</v>
      </c>
      <c r="B30" s="15">
        <v>177.9</v>
      </c>
      <c r="C30" t="s">
        <v>32</v>
      </c>
      <c r="D30" t="s">
        <v>27</v>
      </c>
      <c r="E30" s="11">
        <v>44682</v>
      </c>
    </row>
    <row r="31" spans="1:5">
      <c r="A31" s="11">
        <v>44713</v>
      </c>
      <c r="B31" s="15">
        <v>178</v>
      </c>
      <c r="C31" t="s">
        <v>32</v>
      </c>
      <c r="D31" t="s">
        <v>27</v>
      </c>
      <c r="E31" s="11">
        <v>44713</v>
      </c>
    </row>
    <row r="32" spans="1:5">
      <c r="A32" s="11">
        <v>44743</v>
      </c>
      <c r="B32" s="15">
        <v>178.1</v>
      </c>
      <c r="C32" t="s">
        <v>32</v>
      </c>
      <c r="D32" t="s">
        <v>27</v>
      </c>
      <c r="E32" s="11">
        <v>44743</v>
      </c>
    </row>
    <row r="33" spans="1:5">
      <c r="A33" s="11">
        <v>44774</v>
      </c>
      <c r="B33" s="15">
        <v>179.4</v>
      </c>
      <c r="C33" t="s">
        <v>32</v>
      </c>
      <c r="D33" t="s">
        <v>27</v>
      </c>
      <c r="E33" s="11">
        <v>44774</v>
      </c>
    </row>
    <row r="34" spans="1:5">
      <c r="A34" s="11">
        <v>44805</v>
      </c>
      <c r="B34" s="15">
        <v>179</v>
      </c>
      <c r="C34" t="s">
        <v>32</v>
      </c>
      <c r="D34" t="s">
        <v>27</v>
      </c>
      <c r="E34" s="11">
        <v>44805</v>
      </c>
    </row>
    <row r="35" spans="1:5">
      <c r="A35" s="11">
        <v>44835</v>
      </c>
      <c r="B35" s="15">
        <v>178</v>
      </c>
      <c r="C35" t="s">
        <v>32</v>
      </c>
      <c r="D35" t="s">
        <v>27</v>
      </c>
      <c r="E35" s="11">
        <v>44835</v>
      </c>
    </row>
    <row r="36" spans="1:5">
      <c r="A36" s="11">
        <v>44866</v>
      </c>
      <c r="B36" s="15">
        <v>176.4</v>
      </c>
      <c r="C36" t="s">
        <v>32</v>
      </c>
      <c r="D36" t="s">
        <v>27</v>
      </c>
      <c r="E36" s="11">
        <v>44866</v>
      </c>
    </row>
    <row r="37" spans="1:5">
      <c r="A37" s="11">
        <v>44896</v>
      </c>
      <c r="B37" s="15">
        <v>175.5</v>
      </c>
      <c r="C37" t="s">
        <v>32</v>
      </c>
      <c r="D37" t="s">
        <v>27</v>
      </c>
      <c r="E37" s="11">
        <v>44896</v>
      </c>
    </row>
    <row r="38" spans="1:5">
      <c r="A38" s="11">
        <v>44927</v>
      </c>
      <c r="B38" s="15">
        <v>173.6</v>
      </c>
      <c r="C38" t="s">
        <v>32</v>
      </c>
      <c r="D38" t="s">
        <v>27</v>
      </c>
      <c r="E38" s="11">
        <v>44927</v>
      </c>
    </row>
    <row r="39" spans="1:5">
      <c r="A39" s="11">
        <v>44958</v>
      </c>
      <c r="B39" s="15">
        <v>175.1</v>
      </c>
      <c r="C39" t="s">
        <v>32</v>
      </c>
      <c r="D39" t="s">
        <v>27</v>
      </c>
      <c r="E39" s="11">
        <v>44958</v>
      </c>
    </row>
    <row r="40" spans="1:5">
      <c r="A40" s="11">
        <v>44986</v>
      </c>
      <c r="B40" s="15">
        <v>176.2</v>
      </c>
      <c r="C40" t="s">
        <v>32</v>
      </c>
      <c r="D40" t="s">
        <v>27</v>
      </c>
      <c r="E40" s="11">
        <v>44986</v>
      </c>
    </row>
    <row r="41" spans="1:5">
      <c r="A41" s="11">
        <v>45017</v>
      </c>
      <c r="B41" s="15">
        <v>178.7</v>
      </c>
      <c r="C41" t="s">
        <v>32</v>
      </c>
      <c r="D41" t="s">
        <v>27</v>
      </c>
      <c r="E41" s="11">
        <v>45017</v>
      </c>
    </row>
    <row r="42" spans="1:5">
      <c r="A42" s="11">
        <v>45047</v>
      </c>
      <c r="B42" s="15">
        <v>179.9</v>
      </c>
      <c r="C42" t="s">
        <v>32</v>
      </c>
      <c r="D42" t="s">
        <v>27</v>
      </c>
      <c r="E42" s="11">
        <v>45047</v>
      </c>
    </row>
    <row r="43" spans="1:5">
      <c r="A43" s="11">
        <v>45078</v>
      </c>
      <c r="B43" s="15">
        <v>180.9</v>
      </c>
      <c r="C43" t="s">
        <v>32</v>
      </c>
      <c r="D43" t="s">
        <v>27</v>
      </c>
      <c r="E43" s="11">
        <v>45078</v>
      </c>
    </row>
    <row r="44" spans="1:5">
      <c r="A44" s="11">
        <v>45108</v>
      </c>
      <c r="B44" s="15">
        <v>182</v>
      </c>
      <c r="C44" t="s">
        <v>32</v>
      </c>
      <c r="D44" t="s">
        <v>27</v>
      </c>
      <c r="E44" s="11">
        <v>45108</v>
      </c>
    </row>
    <row r="45" spans="1:5">
      <c r="A45" s="11">
        <v>45139</v>
      </c>
      <c r="B45" s="15">
        <v>184.9</v>
      </c>
      <c r="C45" t="s">
        <v>32</v>
      </c>
      <c r="D45" t="s">
        <v>27</v>
      </c>
      <c r="E45" s="11">
        <v>45139</v>
      </c>
    </row>
    <row r="46" spans="1:5">
      <c r="A46" s="11">
        <v>45170</v>
      </c>
      <c r="B46" s="15">
        <v>185.2</v>
      </c>
      <c r="C46" t="s">
        <v>32</v>
      </c>
      <c r="D46" t="s">
        <v>27</v>
      </c>
      <c r="E46" s="11">
        <v>45170</v>
      </c>
    </row>
    <row r="47" spans="1:5">
      <c r="A47" s="11">
        <v>45200</v>
      </c>
      <c r="B47" s="15">
        <v>185.4</v>
      </c>
      <c r="C47" t="s">
        <v>32</v>
      </c>
      <c r="D47" t="s">
        <v>27</v>
      </c>
      <c r="E47" s="11">
        <v>45200</v>
      </c>
    </row>
    <row r="48" spans="1:5">
      <c r="A48" s="11">
        <v>45231</v>
      </c>
      <c r="B48" s="15">
        <v>185.5</v>
      </c>
      <c r="C48" t="s">
        <v>32</v>
      </c>
      <c r="D48" t="s">
        <v>27</v>
      </c>
      <c r="E48" s="11">
        <v>45231</v>
      </c>
    </row>
    <row r="49" spans="1:5">
      <c r="A49" s="11">
        <v>45261</v>
      </c>
      <c r="B49" s="15">
        <v>186</v>
      </c>
      <c r="C49" t="s">
        <v>32</v>
      </c>
      <c r="D49" t="s">
        <v>27</v>
      </c>
      <c r="E49" s="11">
        <v>45261</v>
      </c>
    </row>
    <row r="50" spans="1:5">
      <c r="A50" s="11">
        <v>45292</v>
      </c>
      <c r="B50" s="15">
        <v>185.5</v>
      </c>
      <c r="C50" t="s">
        <v>32</v>
      </c>
      <c r="D50" t="s">
        <v>27</v>
      </c>
      <c r="E50" s="11">
        <v>45292</v>
      </c>
    </row>
    <row r="51" spans="1:5">
      <c r="A51" s="11">
        <v>45323</v>
      </c>
      <c r="B51" s="15">
        <v>184.4</v>
      </c>
      <c r="C51" t="s">
        <v>32</v>
      </c>
      <c r="D51" t="s">
        <v>27</v>
      </c>
      <c r="E51" s="11">
        <v>45323</v>
      </c>
    </row>
    <row r="52" spans="1:5">
      <c r="A52" s="11">
        <v>45352</v>
      </c>
      <c r="B52" s="15">
        <v>184.9</v>
      </c>
      <c r="C52" t="s">
        <v>32</v>
      </c>
      <c r="D52" t="s">
        <v>27</v>
      </c>
      <c r="E52" s="11">
        <v>45352</v>
      </c>
    </row>
    <row r="53" spans="1:5">
      <c r="A53" s="11">
        <v>45383</v>
      </c>
      <c r="B53" s="15">
        <v>186.9</v>
      </c>
      <c r="C53" t="s">
        <v>32</v>
      </c>
      <c r="D53" t="s">
        <v>27</v>
      </c>
      <c r="E53" s="11">
        <v>45383</v>
      </c>
    </row>
    <row r="54" spans="1:5">
      <c r="A54" s="11">
        <v>45413</v>
      </c>
      <c r="B54" s="15">
        <v>190</v>
      </c>
      <c r="C54" t="s">
        <v>32</v>
      </c>
      <c r="D54" t="s">
        <v>27</v>
      </c>
      <c r="E54" s="11">
        <v>45413</v>
      </c>
    </row>
    <row r="55" spans="1:5">
      <c r="A55" s="11">
        <v>45444</v>
      </c>
      <c r="B55" s="15">
        <v>192.5</v>
      </c>
      <c r="C55" t="s">
        <v>32</v>
      </c>
      <c r="D55" t="s">
        <v>27</v>
      </c>
      <c r="E55" s="11">
        <v>45444</v>
      </c>
    </row>
    <row r="56" spans="1:5">
      <c r="A56" s="11">
        <v>45474</v>
      </c>
      <c r="B56" s="15">
        <v>193.8</v>
      </c>
      <c r="C56" t="s">
        <v>32</v>
      </c>
      <c r="D56" t="s">
        <v>27</v>
      </c>
      <c r="E56" s="11">
        <v>45474</v>
      </c>
    </row>
    <row r="57" spans="1:5">
      <c r="A57" s="11">
        <v>45505</v>
      </c>
      <c r="B57" s="15">
        <v>195.1</v>
      </c>
      <c r="C57" t="s">
        <v>32</v>
      </c>
      <c r="D57" t="s">
        <v>27</v>
      </c>
      <c r="E57" s="11">
        <v>45505</v>
      </c>
    </row>
    <row r="58" spans="1:5">
      <c r="A58" s="11">
        <v>45536</v>
      </c>
      <c r="B58" s="15">
        <v>195.3</v>
      </c>
      <c r="C58" t="s">
        <v>32</v>
      </c>
      <c r="D58" t="s">
        <v>27</v>
      </c>
      <c r="E58" s="11">
        <v>45536</v>
      </c>
    </row>
    <row r="59" spans="1:5">
      <c r="A59" s="11">
        <v>45566</v>
      </c>
      <c r="B59" s="15">
        <v>192.7</v>
      </c>
      <c r="C59" t="s">
        <v>32</v>
      </c>
      <c r="D59" t="s">
        <v>27</v>
      </c>
      <c r="E59" s="11">
        <v>45566</v>
      </c>
    </row>
    <row r="60" spans="1:5">
      <c r="A60" s="11">
        <v>45597</v>
      </c>
      <c r="B60" s="15">
        <v>191.9</v>
      </c>
      <c r="C60" t="s">
        <v>32</v>
      </c>
      <c r="D60" t="s">
        <v>27</v>
      </c>
      <c r="E60" s="11">
        <v>45597</v>
      </c>
    </row>
    <row r="61" spans="1:5">
      <c r="A61" s="11">
        <v>45627</v>
      </c>
      <c r="B61" s="15">
        <v>192.5</v>
      </c>
      <c r="C61" t="s">
        <v>32</v>
      </c>
      <c r="D61" t="s">
        <v>27</v>
      </c>
      <c r="E61" s="11">
        <v>45627</v>
      </c>
    </row>
    <row r="62" spans="1:5">
      <c r="A62" s="11">
        <v>45658</v>
      </c>
      <c r="B62" s="15">
        <v>192.8</v>
      </c>
      <c r="C62" t="s">
        <v>32</v>
      </c>
      <c r="D62" t="s">
        <v>27</v>
      </c>
      <c r="E62" s="11">
        <v>45658</v>
      </c>
    </row>
    <row r="63" spans="1:5">
      <c r="A63" s="11">
        <v>45689</v>
      </c>
      <c r="B63" s="15">
        <v>193</v>
      </c>
      <c r="C63" t="s">
        <v>32</v>
      </c>
      <c r="D63" t="s">
        <v>27</v>
      </c>
      <c r="E63" s="11">
        <v>45689</v>
      </c>
    </row>
    <row r="64" spans="1:5">
      <c r="A64" s="11">
        <v>45717</v>
      </c>
      <c r="B64" s="15">
        <v>193.1</v>
      </c>
      <c r="C64" t="s">
        <v>32</v>
      </c>
      <c r="D64" t="s">
        <v>27</v>
      </c>
      <c r="E64" s="11">
        <v>45717</v>
      </c>
    </row>
    <row r="65" spans="1:5">
      <c r="A65" s="11">
        <v>45748</v>
      </c>
      <c r="B65" s="15">
        <v>193.9</v>
      </c>
      <c r="C65" t="s">
        <v>32</v>
      </c>
      <c r="D65" t="s">
        <v>27</v>
      </c>
      <c r="E65" s="11">
        <v>45748</v>
      </c>
    </row>
    <row r="66" spans="1:5">
      <c r="A66" s="11">
        <v>45778</v>
      </c>
      <c r="B66" s="15">
        <v>194.2</v>
      </c>
      <c r="C66" t="s">
        <v>32</v>
      </c>
      <c r="D66" t="s">
        <v>27</v>
      </c>
      <c r="E66" s="11">
        <v>45778</v>
      </c>
    </row>
    <row r="67" spans="1:5">
      <c r="A67" s="11">
        <v>45809</v>
      </c>
      <c r="B67" s="15">
        <v>195.7</v>
      </c>
      <c r="C67" t="s">
        <v>32</v>
      </c>
      <c r="D67" t="s">
        <v>27</v>
      </c>
      <c r="E67" s="11">
        <v>45809</v>
      </c>
    </row>
    <row r="68" spans="1:5">
      <c r="A68" s="11">
        <v>45839</v>
      </c>
      <c r="B68" s="15">
        <v>196.5</v>
      </c>
      <c r="C68" t="s">
        <v>32</v>
      </c>
      <c r="D68" t="s">
        <v>27</v>
      </c>
      <c r="E68" s="11">
        <v>45839</v>
      </c>
    </row>
    <row r="69" spans="1:5">
      <c r="A69" s="11">
        <v>45870</v>
      </c>
      <c r="B69" s="15">
        <v>198.7</v>
      </c>
      <c r="C69" t="s">
        <v>32</v>
      </c>
      <c r="D69" t="s">
        <v>27</v>
      </c>
      <c r="E69" s="11">
        <v>45870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20CA1-A780-FE4D-9430-35E57D84DFED}">
  <dimension ref="A1:E69"/>
  <sheetViews>
    <sheetView topLeftCell="A18" zoomScaleNormal="100" workbookViewId="0">
      <selection activeCell="G12" sqref="G12"/>
    </sheetView>
  </sheetViews>
  <sheetFormatPr baseColWidth="10" defaultRowHeight="28"/>
  <sheetData>
    <row r="1" spans="1:5">
      <c r="A1" s="11" t="s">
        <v>19</v>
      </c>
      <c r="B1" s="14" t="s">
        <v>21</v>
      </c>
      <c r="C1" t="s">
        <v>25</v>
      </c>
      <c r="D1" t="s">
        <v>23</v>
      </c>
      <c r="E1" s="10" t="s">
        <v>31</v>
      </c>
    </row>
    <row r="2" spans="1:5">
      <c r="A2" s="11">
        <v>43831</v>
      </c>
      <c r="B2" s="18">
        <v>467.14499999999998</v>
      </c>
      <c r="C2" t="s">
        <v>32</v>
      </c>
      <c r="D2" t="s">
        <v>27</v>
      </c>
      <c r="E2" s="11">
        <v>43831</v>
      </c>
    </row>
    <row r="3" spans="1:5">
      <c r="A3" s="11">
        <v>43862</v>
      </c>
      <c r="B3" s="18">
        <v>469.06200000000001</v>
      </c>
      <c r="C3" t="s">
        <v>32</v>
      </c>
      <c r="D3" t="s">
        <v>27</v>
      </c>
      <c r="E3" s="11">
        <v>43862</v>
      </c>
    </row>
    <row r="4" spans="1:5">
      <c r="A4" s="11">
        <v>43891</v>
      </c>
      <c r="B4" s="18">
        <v>469.87799999999999</v>
      </c>
      <c r="C4" t="s">
        <v>32</v>
      </c>
      <c r="D4" t="s">
        <v>27</v>
      </c>
      <c r="E4" s="11">
        <v>43891</v>
      </c>
    </row>
    <row r="5" spans="1:5">
      <c r="A5" s="11">
        <v>43922</v>
      </c>
      <c r="B5" s="18">
        <v>466.19600000000003</v>
      </c>
      <c r="C5" t="s">
        <v>32</v>
      </c>
      <c r="D5" t="s">
        <v>27</v>
      </c>
      <c r="E5" s="11">
        <v>43922</v>
      </c>
    </row>
    <row r="6" spans="1:5">
      <c r="A6" s="11">
        <v>43952</v>
      </c>
      <c r="B6" s="18">
        <v>464.779</v>
      </c>
      <c r="C6" t="s">
        <v>32</v>
      </c>
      <c r="D6" t="s">
        <v>27</v>
      </c>
      <c r="E6" s="11">
        <v>43952</v>
      </c>
    </row>
    <row r="7" spans="1:5">
      <c r="A7" s="11">
        <v>43983</v>
      </c>
      <c r="B7" s="18">
        <v>463.70400000000001</v>
      </c>
      <c r="C7" t="s">
        <v>32</v>
      </c>
      <c r="D7" t="s">
        <v>27</v>
      </c>
      <c r="E7" s="11">
        <v>43983</v>
      </c>
    </row>
    <row r="8" spans="1:5">
      <c r="A8" s="11">
        <v>44013</v>
      </c>
      <c r="B8" s="18">
        <v>465.09100000000001</v>
      </c>
      <c r="C8" t="s">
        <v>32</v>
      </c>
      <c r="D8" t="s">
        <v>27</v>
      </c>
      <c r="E8" s="11">
        <v>44013</v>
      </c>
    </row>
    <row r="9" spans="1:5">
      <c r="A9" s="11">
        <v>44044</v>
      </c>
      <c r="B9" s="18">
        <v>465.71300000000002</v>
      </c>
      <c r="C9" t="s">
        <v>32</v>
      </c>
      <c r="D9" t="s">
        <v>27</v>
      </c>
      <c r="E9" s="11">
        <v>44044</v>
      </c>
    </row>
    <row r="10" spans="1:5">
      <c r="A10" s="11">
        <v>44075</v>
      </c>
      <c r="B10" s="18">
        <v>466.18200000000002</v>
      </c>
      <c r="C10" t="s">
        <v>32</v>
      </c>
      <c r="D10" t="s">
        <v>27</v>
      </c>
      <c r="E10" s="11">
        <v>44075</v>
      </c>
    </row>
    <row r="11" spans="1:5">
      <c r="A11" s="11">
        <v>44105</v>
      </c>
      <c r="B11" s="18">
        <v>468.72500000000002</v>
      </c>
      <c r="C11" t="s">
        <v>32</v>
      </c>
      <c r="D11" t="s">
        <v>27</v>
      </c>
      <c r="E11" s="11">
        <v>44105</v>
      </c>
    </row>
    <row r="12" spans="1:5">
      <c r="A12" s="11">
        <v>44136</v>
      </c>
      <c r="B12" s="18">
        <v>469.137</v>
      </c>
      <c r="C12" t="s">
        <v>32</v>
      </c>
      <c r="D12" t="s">
        <v>27</v>
      </c>
      <c r="E12" s="11">
        <v>44136</v>
      </c>
    </row>
    <row r="13" spans="1:5">
      <c r="A13" s="11">
        <v>44166</v>
      </c>
      <c r="B13" s="18">
        <v>468.851</v>
      </c>
      <c r="C13" t="s">
        <v>32</v>
      </c>
      <c r="D13" t="s">
        <v>27</v>
      </c>
      <c r="E13" s="11">
        <v>44166</v>
      </c>
    </row>
    <row r="14" spans="1:5">
      <c r="A14" s="11">
        <v>44197</v>
      </c>
      <c r="B14" s="18">
        <v>467.94200000000001</v>
      </c>
      <c r="C14" t="s">
        <v>32</v>
      </c>
      <c r="D14" t="s">
        <v>27</v>
      </c>
      <c r="E14" s="11">
        <v>44197</v>
      </c>
    </row>
    <row r="15" spans="1:5">
      <c r="A15" s="11">
        <v>44228</v>
      </c>
      <c r="B15" s="18">
        <v>468.80700000000002</v>
      </c>
      <c r="C15" t="s">
        <v>32</v>
      </c>
      <c r="D15" t="s">
        <v>27</v>
      </c>
      <c r="E15" s="11">
        <v>44228</v>
      </c>
    </row>
    <row r="16" spans="1:5">
      <c r="A16" s="11">
        <v>44256</v>
      </c>
      <c r="B16" s="18">
        <v>468.23099999999999</v>
      </c>
      <c r="C16" t="s">
        <v>32</v>
      </c>
      <c r="D16" t="s">
        <v>27</v>
      </c>
      <c r="E16" s="11">
        <v>44256</v>
      </c>
    </row>
    <row r="17" spans="1:5">
      <c r="A17" s="11">
        <v>44287</v>
      </c>
      <c r="B17" s="18">
        <v>467.75799999999998</v>
      </c>
      <c r="C17" t="s">
        <v>32</v>
      </c>
      <c r="D17" t="s">
        <v>27</v>
      </c>
      <c r="E17" s="11">
        <v>44287</v>
      </c>
    </row>
    <row r="18" spans="1:5">
      <c r="A18" s="11">
        <v>44317</v>
      </c>
      <c r="B18" s="18">
        <v>467.26100000000002</v>
      </c>
      <c r="C18" t="s">
        <v>32</v>
      </c>
      <c r="D18" t="s">
        <v>27</v>
      </c>
      <c r="E18" s="11">
        <v>44317</v>
      </c>
    </row>
    <row r="19" spans="1:5">
      <c r="A19" s="11">
        <v>44348</v>
      </c>
      <c r="B19" s="18">
        <v>466.65100000000001</v>
      </c>
      <c r="C19" t="s">
        <v>32</v>
      </c>
      <c r="D19" t="s">
        <v>27</v>
      </c>
      <c r="E19" s="11">
        <v>44348</v>
      </c>
    </row>
    <row r="20" spans="1:5">
      <c r="A20" s="11">
        <v>44378</v>
      </c>
      <c r="B20" s="18">
        <v>467.71199999999999</v>
      </c>
      <c r="C20" t="s">
        <v>32</v>
      </c>
      <c r="D20" t="s">
        <v>27</v>
      </c>
      <c r="E20" s="11">
        <v>44378</v>
      </c>
    </row>
    <row r="21" spans="1:5">
      <c r="A21" s="11">
        <v>44409</v>
      </c>
      <c r="B21" s="18">
        <v>467.584</v>
      </c>
      <c r="C21" t="s">
        <v>32</v>
      </c>
      <c r="D21" t="s">
        <v>27</v>
      </c>
      <c r="E21" s="11">
        <v>44409</v>
      </c>
    </row>
    <row r="22" spans="1:5">
      <c r="A22" s="11">
        <v>44440</v>
      </c>
      <c r="B22" s="18">
        <v>466.85500000000002</v>
      </c>
      <c r="C22" t="s">
        <v>32</v>
      </c>
      <c r="D22" t="s">
        <v>27</v>
      </c>
      <c r="E22" s="11">
        <v>44440</v>
      </c>
    </row>
    <row r="23" spans="1:5">
      <c r="A23" s="11">
        <v>44470</v>
      </c>
      <c r="B23" s="18">
        <v>467.01400000000001</v>
      </c>
      <c r="C23" t="s">
        <v>32</v>
      </c>
      <c r="D23" t="s">
        <v>27</v>
      </c>
      <c r="E23" s="11">
        <v>44470</v>
      </c>
    </row>
    <row r="24" spans="1:5">
      <c r="A24" s="11">
        <v>44501</v>
      </c>
      <c r="B24" s="18">
        <v>466.90600000000001</v>
      </c>
      <c r="C24" t="s">
        <v>32</v>
      </c>
      <c r="D24" t="s">
        <v>27</v>
      </c>
      <c r="E24" s="11">
        <v>44501</v>
      </c>
    </row>
    <row r="25" spans="1:5">
      <c r="A25" s="11">
        <v>44531</v>
      </c>
      <c r="B25" s="18">
        <v>467.58800000000002</v>
      </c>
      <c r="C25" t="s">
        <v>32</v>
      </c>
      <c r="D25" t="s">
        <v>27</v>
      </c>
      <c r="E25" s="11">
        <v>44531</v>
      </c>
    </row>
    <row r="26" spans="1:5">
      <c r="A26" s="11">
        <v>44562</v>
      </c>
      <c r="B26" s="18">
        <v>468.49599999999998</v>
      </c>
      <c r="C26" t="s">
        <v>32</v>
      </c>
      <c r="D26" t="s">
        <v>27</v>
      </c>
      <c r="E26" s="11">
        <v>44562</v>
      </c>
    </row>
    <row r="27" spans="1:5">
      <c r="A27" s="11">
        <v>44593</v>
      </c>
      <c r="B27" s="18">
        <v>469.286</v>
      </c>
      <c r="C27" t="s">
        <v>32</v>
      </c>
      <c r="D27" t="s">
        <v>27</v>
      </c>
      <c r="E27" s="11">
        <v>44593</v>
      </c>
    </row>
    <row r="28" spans="1:5">
      <c r="A28" s="11">
        <v>44621</v>
      </c>
      <c r="B28" s="18">
        <v>469.62900000000002</v>
      </c>
      <c r="C28" t="s">
        <v>32</v>
      </c>
      <c r="D28" t="s">
        <v>27</v>
      </c>
      <c r="E28" s="11">
        <v>44621</v>
      </c>
    </row>
    <row r="29" spans="1:5">
      <c r="A29" s="11">
        <v>44652</v>
      </c>
      <c r="B29" s="18">
        <v>471.42599999999999</v>
      </c>
      <c r="C29" t="s">
        <v>32</v>
      </c>
      <c r="D29" t="s">
        <v>27</v>
      </c>
      <c r="E29" s="11">
        <v>44652</v>
      </c>
    </row>
    <row r="30" spans="1:5">
      <c r="A30" s="11">
        <v>44682</v>
      </c>
      <c r="B30" s="18">
        <v>471.64800000000002</v>
      </c>
      <c r="C30" t="s">
        <v>32</v>
      </c>
      <c r="D30" t="s">
        <v>27</v>
      </c>
      <c r="E30" s="11">
        <v>44682</v>
      </c>
    </row>
    <row r="31" spans="1:5">
      <c r="A31" s="11">
        <v>44713</v>
      </c>
      <c r="B31" s="18">
        <v>472.69099999999997</v>
      </c>
      <c r="C31" t="s">
        <v>32</v>
      </c>
      <c r="D31" t="s">
        <v>27</v>
      </c>
      <c r="E31" s="11">
        <v>44713</v>
      </c>
    </row>
    <row r="32" spans="1:5">
      <c r="A32" s="11">
        <v>44743</v>
      </c>
      <c r="B32" s="18">
        <v>474.15899999999999</v>
      </c>
      <c r="C32" t="s">
        <v>32</v>
      </c>
      <c r="D32" t="s">
        <v>27</v>
      </c>
      <c r="E32" s="11">
        <v>44743</v>
      </c>
    </row>
    <row r="33" spans="1:5">
      <c r="A33" s="11">
        <v>44774</v>
      </c>
      <c r="B33" s="18">
        <v>476.38400000000001</v>
      </c>
      <c r="C33" t="s">
        <v>32</v>
      </c>
      <c r="D33" t="s">
        <v>27</v>
      </c>
      <c r="E33" s="11">
        <v>44774</v>
      </c>
    </row>
    <row r="34" spans="1:5">
      <c r="A34" s="11">
        <v>44805</v>
      </c>
      <c r="B34" s="18">
        <v>477.57900000000001</v>
      </c>
      <c r="C34" t="s">
        <v>32</v>
      </c>
      <c r="D34" t="s">
        <v>27</v>
      </c>
      <c r="E34" s="11">
        <v>44805</v>
      </c>
    </row>
    <row r="35" spans="1:5">
      <c r="A35" s="11">
        <v>44835</v>
      </c>
      <c r="B35" s="18">
        <v>479.99900000000002</v>
      </c>
      <c r="C35" t="s">
        <v>32</v>
      </c>
      <c r="D35" t="s">
        <v>27</v>
      </c>
      <c r="E35" s="11">
        <v>44835</v>
      </c>
    </row>
    <row r="36" spans="1:5">
      <c r="A36" s="11">
        <v>44866</v>
      </c>
      <c r="B36" s="18">
        <v>483.94299999999998</v>
      </c>
      <c r="C36" t="s">
        <v>32</v>
      </c>
      <c r="D36" t="s">
        <v>27</v>
      </c>
      <c r="E36" s="11">
        <v>44866</v>
      </c>
    </row>
    <row r="37" spans="1:5">
      <c r="A37" s="11">
        <v>44896</v>
      </c>
      <c r="B37" s="18">
        <v>487.48</v>
      </c>
      <c r="C37" t="s">
        <v>32</v>
      </c>
      <c r="D37" t="s">
        <v>27</v>
      </c>
      <c r="E37" s="11">
        <v>44896</v>
      </c>
    </row>
    <row r="38" spans="1:5">
      <c r="A38" s="11">
        <v>44927</v>
      </c>
      <c r="B38" s="18">
        <v>490.03100000000001</v>
      </c>
      <c r="C38" t="s">
        <v>32</v>
      </c>
      <c r="D38" t="s">
        <v>27</v>
      </c>
      <c r="E38" s="11">
        <v>44927</v>
      </c>
    </row>
    <row r="39" spans="1:5">
      <c r="A39" s="11">
        <v>44958</v>
      </c>
      <c r="B39" s="18">
        <v>491.87400000000002</v>
      </c>
      <c r="C39" t="s">
        <v>32</v>
      </c>
      <c r="D39" t="s">
        <v>27</v>
      </c>
      <c r="E39" s="11">
        <v>44958</v>
      </c>
    </row>
    <row r="40" spans="1:5">
      <c r="A40" s="11">
        <v>44986</v>
      </c>
      <c r="B40" s="18">
        <v>494.28300000000002</v>
      </c>
      <c r="C40" t="s">
        <v>32</v>
      </c>
      <c r="D40" t="s">
        <v>27</v>
      </c>
      <c r="E40" s="11">
        <v>44986</v>
      </c>
    </row>
    <row r="41" spans="1:5">
      <c r="A41" s="11">
        <v>45017</v>
      </c>
      <c r="B41" s="18">
        <v>494.56</v>
      </c>
      <c r="C41" t="s">
        <v>32</v>
      </c>
      <c r="D41" t="s">
        <v>27</v>
      </c>
      <c r="E41" s="11">
        <v>45017</v>
      </c>
    </row>
    <row r="42" spans="1:5">
      <c r="A42" s="11">
        <v>45047</v>
      </c>
      <c r="B42" s="18">
        <v>494.88099999999997</v>
      </c>
      <c r="C42" t="s">
        <v>32</v>
      </c>
      <c r="D42" t="s">
        <v>27</v>
      </c>
      <c r="E42" s="11">
        <v>45047</v>
      </c>
    </row>
    <row r="43" spans="1:5">
      <c r="A43" s="11">
        <v>45078</v>
      </c>
      <c r="B43" s="18">
        <v>501.714</v>
      </c>
      <c r="C43" t="s">
        <v>32</v>
      </c>
      <c r="D43" t="s">
        <v>27</v>
      </c>
      <c r="E43" s="11">
        <v>45078</v>
      </c>
    </row>
    <row r="44" spans="1:5">
      <c r="A44" s="11">
        <v>45108</v>
      </c>
      <c r="B44" s="18">
        <v>501.91699999999997</v>
      </c>
      <c r="C44" t="s">
        <v>32</v>
      </c>
      <c r="D44" t="s">
        <v>27</v>
      </c>
      <c r="E44" s="11">
        <v>45108</v>
      </c>
    </row>
    <row r="45" spans="1:5">
      <c r="A45" s="11">
        <v>45139</v>
      </c>
      <c r="B45" s="18">
        <v>501.255</v>
      </c>
      <c r="C45" t="s">
        <v>32</v>
      </c>
      <c r="D45" t="s">
        <v>27</v>
      </c>
      <c r="E45" s="11">
        <v>45139</v>
      </c>
    </row>
    <row r="46" spans="1:5">
      <c r="A46" s="11">
        <v>45170</v>
      </c>
      <c r="B46" s="18">
        <v>502.863</v>
      </c>
      <c r="C46" t="s">
        <v>32</v>
      </c>
      <c r="D46" t="s">
        <v>27</v>
      </c>
      <c r="E46" s="11">
        <v>45170</v>
      </c>
    </row>
    <row r="47" spans="1:5">
      <c r="A47" s="11">
        <v>45200</v>
      </c>
      <c r="B47" s="18">
        <v>502.62599999999998</v>
      </c>
      <c r="C47" t="s">
        <v>32</v>
      </c>
      <c r="D47" t="s">
        <v>27</v>
      </c>
      <c r="E47" s="11">
        <v>45200</v>
      </c>
    </row>
    <row r="48" spans="1:5">
      <c r="A48" s="11">
        <v>45231</v>
      </c>
      <c r="B48" s="18">
        <v>504.34399999999999</v>
      </c>
      <c r="C48" t="s">
        <v>32</v>
      </c>
      <c r="D48" t="s">
        <v>27</v>
      </c>
      <c r="E48" s="11">
        <v>45231</v>
      </c>
    </row>
    <row r="49" spans="1:5">
      <c r="A49" s="11">
        <v>45261</v>
      </c>
      <c r="B49" s="18">
        <v>503.44299999999998</v>
      </c>
      <c r="C49" t="s">
        <v>32</v>
      </c>
      <c r="D49" t="s">
        <v>27</v>
      </c>
      <c r="E49" s="11">
        <v>45261</v>
      </c>
    </row>
    <row r="50" spans="1:5">
      <c r="A50" s="11">
        <v>45292</v>
      </c>
      <c r="B50" s="18">
        <v>504.31099999999998</v>
      </c>
      <c r="C50" t="s">
        <v>32</v>
      </c>
      <c r="D50" t="s">
        <v>27</v>
      </c>
      <c r="E50" s="11">
        <v>45292</v>
      </c>
    </row>
    <row r="51" spans="1:5">
      <c r="A51" s="11">
        <v>45323</v>
      </c>
      <c r="B51" s="18">
        <v>503.93799999999999</v>
      </c>
      <c r="C51" t="s">
        <v>32</v>
      </c>
      <c r="D51" t="s">
        <v>27</v>
      </c>
      <c r="E51" s="11">
        <v>45323</v>
      </c>
    </row>
    <row r="52" spans="1:5">
      <c r="A52" s="11">
        <v>45352</v>
      </c>
      <c r="B52" s="18">
        <v>506</v>
      </c>
      <c r="C52" t="s">
        <v>32</v>
      </c>
      <c r="D52" t="s">
        <v>27</v>
      </c>
      <c r="E52" s="11">
        <v>45352</v>
      </c>
    </row>
    <row r="53" spans="1:5">
      <c r="A53" s="11">
        <v>45383</v>
      </c>
      <c r="B53" s="18">
        <v>504.92700000000002</v>
      </c>
      <c r="C53" t="s">
        <v>32</v>
      </c>
      <c r="D53" t="s">
        <v>27</v>
      </c>
      <c r="E53" s="11">
        <v>45383</v>
      </c>
    </row>
    <row r="54" spans="1:5">
      <c r="A54" s="11">
        <v>45413</v>
      </c>
      <c r="B54" s="18">
        <v>505.68599999999998</v>
      </c>
      <c r="C54" t="s">
        <v>32</v>
      </c>
      <c r="D54" t="s">
        <v>27</v>
      </c>
      <c r="E54" s="11">
        <v>45413</v>
      </c>
    </row>
    <row r="55" spans="1:5">
      <c r="A55" s="11">
        <v>45444</v>
      </c>
      <c r="B55" s="18">
        <v>504.84100000000001</v>
      </c>
      <c r="C55" t="s">
        <v>32</v>
      </c>
      <c r="D55" t="s">
        <v>27</v>
      </c>
      <c r="E55" s="11">
        <v>45444</v>
      </c>
    </row>
    <row r="56" spans="1:5">
      <c r="A56" s="11">
        <v>45474</v>
      </c>
      <c r="B56" s="18">
        <v>506.11</v>
      </c>
      <c r="C56" t="s">
        <v>32</v>
      </c>
      <c r="D56" t="s">
        <v>27</v>
      </c>
      <c r="E56" s="11">
        <v>45474</v>
      </c>
    </row>
    <row r="57" spans="1:5">
      <c r="A57" s="11">
        <v>45505</v>
      </c>
      <c r="B57" s="18">
        <v>508.72399999999999</v>
      </c>
      <c r="C57" t="s">
        <v>32</v>
      </c>
      <c r="D57" t="s">
        <v>27</v>
      </c>
      <c r="E57" s="11">
        <v>45505</v>
      </c>
    </row>
    <row r="58" spans="1:5">
      <c r="A58" s="11">
        <v>45536</v>
      </c>
      <c r="B58" s="18">
        <v>510.60300000000001</v>
      </c>
      <c r="C58" t="s">
        <v>32</v>
      </c>
      <c r="D58" t="s">
        <v>27</v>
      </c>
      <c r="E58" s="11">
        <v>45536</v>
      </c>
    </row>
    <row r="59" spans="1:5">
      <c r="A59" s="11">
        <v>45566</v>
      </c>
      <c r="B59" s="18">
        <v>512.78200000000004</v>
      </c>
      <c r="C59" t="s">
        <v>32</v>
      </c>
      <c r="D59" t="s">
        <v>27</v>
      </c>
      <c r="E59" s="11">
        <v>45566</v>
      </c>
    </row>
    <row r="60" spans="1:5">
      <c r="A60" s="11">
        <v>45597</v>
      </c>
      <c r="B60" s="18">
        <v>513.49400000000003</v>
      </c>
      <c r="C60" t="s">
        <v>32</v>
      </c>
      <c r="D60" t="s">
        <v>27</v>
      </c>
      <c r="E60" s="11">
        <v>45597</v>
      </c>
    </row>
    <row r="61" spans="1:5">
      <c r="A61" s="11">
        <v>45627</v>
      </c>
      <c r="B61" s="18">
        <v>515.88599999999997</v>
      </c>
      <c r="C61" t="s">
        <v>32</v>
      </c>
      <c r="D61" t="s">
        <v>27</v>
      </c>
      <c r="E61" s="11">
        <v>45627</v>
      </c>
    </row>
    <row r="62" spans="1:5">
      <c r="A62" s="11">
        <v>45658</v>
      </c>
      <c r="B62" s="18">
        <v>517.58100000000002</v>
      </c>
      <c r="C62" t="s">
        <v>32</v>
      </c>
      <c r="D62" t="s">
        <v>27</v>
      </c>
      <c r="E62" s="11">
        <v>45658</v>
      </c>
    </row>
    <row r="63" spans="1:5">
      <c r="A63" s="11">
        <v>45689</v>
      </c>
      <c r="B63" s="18">
        <v>517.18299999999999</v>
      </c>
      <c r="C63" t="s">
        <v>32</v>
      </c>
      <c r="D63" t="s">
        <v>27</v>
      </c>
      <c r="E63" s="11">
        <v>45689</v>
      </c>
    </row>
    <row r="64" spans="1:5">
      <c r="A64" s="11">
        <v>45717</v>
      </c>
      <c r="B64" s="18">
        <v>518.49300000000005</v>
      </c>
      <c r="C64" t="s">
        <v>32</v>
      </c>
      <c r="D64" t="s">
        <v>27</v>
      </c>
      <c r="E64" s="11">
        <v>45717</v>
      </c>
    </row>
    <row r="65" spans="1:5">
      <c r="A65" s="11">
        <v>45748</v>
      </c>
      <c r="B65" s="18">
        <v>518.36599999999999</v>
      </c>
      <c r="C65" t="s">
        <v>32</v>
      </c>
      <c r="D65" t="s">
        <v>27</v>
      </c>
      <c r="E65" s="11">
        <v>45748</v>
      </c>
    </row>
    <row r="66" spans="1:5">
      <c r="A66" s="11">
        <v>45778</v>
      </c>
      <c r="B66" s="18">
        <v>518.38599999999997</v>
      </c>
      <c r="C66" t="s">
        <v>32</v>
      </c>
      <c r="D66" t="s">
        <v>27</v>
      </c>
      <c r="E66" s="11">
        <v>45778</v>
      </c>
    </row>
    <row r="67" spans="1:5">
      <c r="A67" s="11">
        <v>45809</v>
      </c>
      <c r="B67" s="18">
        <v>519.44899999999996</v>
      </c>
      <c r="C67" t="s">
        <v>32</v>
      </c>
      <c r="D67" t="s">
        <v>27</v>
      </c>
      <c r="E67" s="11">
        <v>45809</v>
      </c>
    </row>
    <row r="68" spans="1:5">
      <c r="A68" s="11">
        <v>45839</v>
      </c>
      <c r="B68" s="18">
        <v>518.55600000000004</v>
      </c>
      <c r="C68" t="s">
        <v>32</v>
      </c>
      <c r="D68" t="s">
        <v>27</v>
      </c>
      <c r="E68" s="11">
        <v>45839</v>
      </c>
    </row>
    <row r="69" spans="1:5">
      <c r="A69" s="11">
        <v>45870</v>
      </c>
      <c r="B69" s="18">
        <v>520.14</v>
      </c>
      <c r="C69" t="s">
        <v>32</v>
      </c>
      <c r="D69" t="s">
        <v>27</v>
      </c>
      <c r="E69" s="11">
        <v>45870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85C3D9-1E79-7E4A-92BD-6F4A482453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output_sheet</vt:lpstr>
      <vt:lpstr>Processed_HousePriceIndex_CN_SZ</vt:lpstr>
      <vt:lpstr>Processed_HousePriceIndex_CN_HK</vt:lpstr>
      <vt:lpstr>Processed_HousePriceIndex_US_CA</vt:lpstr>
      <vt:lpstr>Processed_RentPrice_CN_HK </vt:lpstr>
      <vt:lpstr>Processed_RentPrice_US_CA</vt:lpstr>
      <vt:lpstr>rawData_HousePriceIndex_SZ</vt:lpstr>
      <vt:lpstr>rawData_HousePriceIndex_HK</vt:lpstr>
      <vt:lpstr>rawData_HousePriceIndex_US</vt:lpstr>
      <vt:lpstr>rawData_RentPriceIndex_HK</vt:lpstr>
      <vt:lpstr>rawData_RentPriceIndex_US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sunmingke</dc:creator>
  <cp:lastModifiedBy>sunmingke</cp:lastModifiedBy>
  <dcterms:created xsi:type="dcterms:W3CDTF">2025-10-11T08:34:24Z</dcterms:created>
  <dcterms:modified xsi:type="dcterms:W3CDTF">2025-10-12T11:08:43Z</dcterms:modified>
</cp:coreProperties>
</file>